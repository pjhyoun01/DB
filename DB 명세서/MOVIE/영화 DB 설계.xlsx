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mc:AlternateContent xmlns:mc="http://schemas.openxmlformats.org/markup-compatibility/2006">
    <mc:Choice Requires="x15">
      <x15ac:absPath xmlns:x15ac="http://schemas.microsoft.com/office/spreadsheetml/2010/11/ac" url="C:\dev_programs\ktds학습자료\참고 자료\"/>
    </mc:Choice>
  </mc:AlternateContent>
  <xr:revisionPtr revIDLastSave="0" documentId="13_ncr:1_{2C14C5E5-3C10-4CFD-BAB3-45A323CC1081}" xr6:coauthVersionLast="47" xr6:coauthVersionMax="47" xr10:uidLastSave="{00000000-0000-0000-0000-000000000000}"/>
  <bookViews>
    <workbookView xWindow="-120" yWindow="-120" windowWidth="29040" windowHeight="15720" xr2:uid="{00000000-000D-0000-FFFF-FFFF00000000}"/>
  </bookViews>
  <sheets>
    <sheet name="영화" sheetId="1" r:id="rId1"/>
    <sheet name="출연진" sheetId="2" r:id="rId2"/>
    <sheet name="출연" sheetId="3" r:id="rId3"/>
    <sheet name="제작진" sheetId="4" r:id="rId4"/>
    <sheet name="제작" sheetId="5" r:id="rId5"/>
    <sheet name="분류" sheetId="6" r:id="rId6"/>
    <sheet name="장르"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P4" i="1"/>
  <c r="P5" i="1"/>
  <c r="P6" i="1"/>
  <c r="P7" i="1"/>
  <c r="P8" i="1"/>
  <c r="P9" i="1"/>
  <c r="P10" i="1"/>
  <c r="P11" i="1"/>
  <c r="P2" i="1"/>
  <c r="D3" i="7"/>
  <c r="D4" i="7"/>
  <c r="D5" i="7"/>
  <c r="D6" i="7"/>
  <c r="D7" i="7"/>
  <c r="D8" i="7"/>
  <c r="D9" i="7"/>
  <c r="D10" i="7"/>
  <c r="D11" i="7"/>
  <c r="D12" i="7"/>
  <c r="D13" i="7"/>
  <c r="D2" i="7"/>
  <c r="C3" i="6"/>
  <c r="C4" i="6"/>
  <c r="C5" i="6"/>
  <c r="C6" i="6"/>
  <c r="C7" i="6"/>
  <c r="C2" i="6"/>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2" i="3"/>
  <c r="C3" i="4"/>
  <c r="C4" i="4"/>
  <c r="C5" i="4"/>
  <c r="C6" i="4"/>
  <c r="C7" i="4"/>
  <c r="C8" i="4"/>
  <c r="C9" i="4"/>
  <c r="C10" i="4"/>
  <c r="C11" i="4"/>
  <c r="C12" i="4"/>
  <c r="C13" i="4"/>
  <c r="C14" i="4"/>
  <c r="C15" i="4"/>
  <c r="C16" i="4"/>
  <c r="C17" i="4"/>
  <c r="C18" i="4"/>
  <c r="C19" i="4"/>
  <c r="C20" i="4"/>
  <c r="C21" i="4"/>
  <c r="C22" i="4"/>
  <c r="C2" i="4"/>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2" i="5"/>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2" i="2"/>
</calcChain>
</file>

<file path=xl/sharedStrings.xml><?xml version="1.0" encoding="utf-8"?>
<sst xmlns="http://schemas.openxmlformats.org/spreadsheetml/2006/main" count="1297" uniqueCount="846">
  <si>
    <t>1</t>
  </si>
  <si>
    <t>12</t>
  </si>
  <si>
    <t>9</t>
  </si>
  <si>
    <t>8</t>
  </si>
  <si>
    <t>5</t>
  </si>
  <si>
    <t>2</t>
  </si>
  <si>
    <t>11</t>
  </si>
  <si>
    <t>3</t>
  </si>
  <si>
    <t>4</t>
  </si>
  <si>
    <t>7</t>
  </si>
  <si>
    <t>6</t>
  </si>
  <si>
    <t>10</t>
  </si>
  <si>
    <t>MK-20260226-000001</t>
  </si>
  <si>
    <t>MK-20260226-000012</t>
  </si>
  <si>
    <t>MK-20260226-000011</t>
  </si>
  <si>
    <t>MK-20260226-000013</t>
  </si>
  <si>
    <t>MK-20260226-000009</t>
  </si>
  <si>
    <t>MK-20260226-000010</t>
  </si>
  <si>
    <t>MK-20260226-000008</t>
  </si>
  <si>
    <t>2025.10.31</t>
  </si>
  <si>
    <t>1965.07.29</t>
  </si>
  <si>
    <t>케이팝 데몬 헌터스</t>
  </si>
  <si>
    <t>포스터  URL</t>
  </si>
  <si>
    <t>MK-20260226-000015</t>
  </si>
  <si>
    <t>MK-20260226-000014</t>
  </si>
  <si>
    <t>AP-20260226-000071</t>
  </si>
  <si>
    <t>AP-20260226-000069</t>
  </si>
  <si>
    <t>AP-20260226-000072</t>
  </si>
  <si>
    <t>AP-20260226-000074</t>
  </si>
  <si>
    <t>AP-20260226-000070</t>
  </si>
  <si>
    <t>AP-20260226-000068</t>
  </si>
  <si>
    <t>AP-20260226-000073</t>
  </si>
  <si>
    <t>AP-20260226-000075</t>
  </si>
  <si>
    <t>AP-20260226-000076</t>
  </si>
  <si>
    <t>AP-20260226-000077</t>
  </si>
  <si>
    <t>제작진 아이디</t>
  </si>
  <si>
    <t>MV-20260226-000001</t>
  </si>
  <si>
    <t>MK-20260226-000033</t>
  </si>
  <si>
    <t>출연 ID</t>
  </si>
  <si>
    <t>조 루소</t>
  </si>
  <si>
    <t>GN-20260226-000012</t>
  </si>
  <si>
    <t>33</t>
  </si>
  <si>
    <t>우연히 암흑의 여왕에 바쳐지는 제물이 된 링고를 구하기 위해 비틀즈 멤버들이 고군분투한다.</t>
  </si>
  <si>
    <t>The second installment in the franchise. Plot TBA.</t>
  </si>
  <si>
    <t>전설이라 불리던 킬러 존 윅은 사랑하는 여인을 만나 결혼을 하면서 범죄의 세계에서 은퇴한다. 행복도 잠시, 투병 끝에 부인이 세상을 떠나고 그의 앞으로 부인이 죽기 전에 보낸 강아지 한 마리가 선물로 배달된다. 어느 날 그의 차를 탐낸 러시아 마피아의 일원 요세프가 존 윅을 폭행하고 애완견 데이지마저 죽여버리는 일이 벌어진다. 그런데 요세프는 과거 존 윅을 고용한 적 있는 러시아 마피아 보스 비고의 아들이다. 마지막 남은 애완견마저 잃은 존 윅은 이제 그만의 방식으로 복수를 시작하는데...</t>
  </si>
  <si>
    <t>제작 아이디</t>
  </si>
  <si>
    <t>제1차 세계대전이 한창인 1917년 4월 6일. 독일군에 의해 모든 통신망이 파괴된 상황 속에서 서부전선의 영국군 병사 스코필드와 블레이크에게 하나의 미션이 주어졌다. 독일군의 함정에 빠진 영국군 부대의 수장 매켄지 중령에게 에린무어 장군의 공격 중지 명령을 전달하라는 것. 블레이크는 데본셔 연대에 있는 형을 구하기 위해 기꺼이 임무를 수행한다. 동료인 스코필드는 처음엔 당황스러워하지만 이내 1600명의 동료들을 구하기 위해 전쟁터 한가운데를 가로지르는 여정에 동참한다.</t>
  </si>
  <si>
    <t>They sing. They dance. They battle demons.</t>
  </si>
  <si>
    <t>데블 헌터로 일하는 소년 ‘덴지’는 조직의 배신으로 죽음에 내몰린 순간 전기톱 악마견 ‘포치타’와의 계약으로 하나로 합쳐져 누구도 막을 수 없는 존재 ‘체인소 맨’으로 다시 태어난다. 악마와 사냥꾼, 그리고 정체불명의 적들이 얽힌 잔혹한 전쟁 속에서 ‘레제’라는 이름의 미스터리한 소녀가 ‘덴지’ 앞에 나타나는데… ‘덴지’는 사랑이라는 감정에 이끌려 지금껏 가장 위험한 배틀에 몸을 던진다!</t>
  </si>
  <si>
    <t>케이팝 슈퍼스타 루미, 미라, 조이. 매진을 기록하는 대형 스타디움 공연이 없을 때면 이들은 또 다른 활동에 나선다. 바로 비밀 능력을 이용해 팬들을 초자연적 위협으로부터 보호하는 것.</t>
  </si>
  <si>
    <t>식탁에 있던 토마토들이 어느 날 갑자기 사람들을 공격하기 시작하면서 토마토와 인간은 한바탕 전쟁을 벌이기 시작한다!</t>
  </si>
  <si>
    <t>2차 세계 대전, 나치의 잔인하고 폭력적인 행태에 분개한 미군 알도 레인 중위는 당한 만큼 돌려준다는 강렬한 신념으로 최고의 재능을 가진 8명의 대원을 모아 바스터즈란 군단을 만들어 나치가 점령한 프랑스에 잠입해 복수를 시작한다. 어느 날 알도 레인 중위는 독일의 여배우이자 영국의 더블 스파이인 브리짓에게 뜻밖의 소식을 듣는다. 나치 수뇌부가 모두 참석하는 독일 전쟁 영화의 프리미어에 히틀러도 참석을 한다는 것. 한 번에 나치를 모두 쓸어버릴 계획으로 바스터즈는 이탈리아 영화 관계자로 분장해 극장으로 향하는데...</t>
  </si>
  <si>
    <t>어떤 일에도 쉽게 동요하지 않는 냉철한 청부업자. 그가 살아남기 위해 자신을 끊임없이 성찰한다. 마약왕의 납치된 아들을 구하러 간 방글라데시에서 그 모든 것이 시작됐다.</t>
  </si>
  <si>
    <t>영화아이디 - PREDUX(2자리)-YYYYMMDD-일련번호(6자리)</t>
  </si>
  <si>
    <t>General Erinmore</t>
  </si>
  <si>
    <t>Robert Fischer, Jr.</t>
  </si>
  <si>
    <t>Colonel Mackenzie</t>
  </si>
  <si>
    <t>Sergeant Sanders</t>
  </si>
  <si>
    <t>Toby Leonard Moore</t>
  </si>
  <si>
    <t>CPL. Wilhelm Wicki</t>
  </si>
  <si>
    <t>Lieutanant Leslie</t>
  </si>
  <si>
    <t>Lieutanant Blake</t>
  </si>
  <si>
    <t>SGT.Donny Donowitz</t>
  </si>
  <si>
    <t>SGT. Hugo Stiglitz</t>
  </si>
  <si>
    <t>Wilbur Finletter</t>
  </si>
  <si>
    <t>Rudhraksh Jaiswal</t>
  </si>
  <si>
    <t xml:space="preserve">KPOP Demon Hunters </t>
  </si>
  <si>
    <t>Healer Han (voice)</t>
  </si>
  <si>
    <t>Idol Host (voice)</t>
  </si>
  <si>
    <t>Angel Devil (voice)</t>
  </si>
  <si>
    <t>가장 쿨한 녀석들의 통쾌한 복수</t>
  </si>
  <si>
    <t xml:space="preserve">아무도 모르는, 소녀의 마음 </t>
  </si>
  <si>
    <t>J. Stephen Peace</t>
  </si>
  <si>
    <t>Director</t>
  </si>
  <si>
    <t>Screenplay</t>
  </si>
  <si>
    <t>마리옹 꼬띠아르</t>
  </si>
  <si>
    <t>Dom Cobb</t>
  </si>
  <si>
    <t>레오나르도 디카프리오</t>
  </si>
  <si>
    <t>크리스토퍼 놀란</t>
  </si>
  <si>
    <t>채드 스타헬스키</t>
  </si>
  <si>
    <t>미카엘 니크비스트</t>
  </si>
  <si>
    <t>Mal Cobb</t>
  </si>
  <si>
    <t>에이드리언 팰리키</t>
  </si>
  <si>
    <t>Omer Barnea</t>
  </si>
  <si>
    <t>Ms. Perkins</t>
  </si>
  <si>
    <t>다니엘 베른하르트</t>
  </si>
  <si>
    <t>골쉬프테 파라하니</t>
  </si>
  <si>
    <t>2015.01.21</t>
  </si>
  <si>
    <t>Ryder Lerum</t>
  </si>
  <si>
    <t>Tyler Rake</t>
  </si>
  <si>
    <t>Nik Khan</t>
  </si>
  <si>
    <t>크리스 햄스워스</t>
  </si>
  <si>
    <t>Bryon Lerum</t>
  </si>
  <si>
    <t>Ovi Mahajan</t>
  </si>
  <si>
    <t>베네딕트 컴버배치</t>
  </si>
  <si>
    <t>John Wick</t>
  </si>
  <si>
    <t>딘-찰스 채프먼</t>
  </si>
  <si>
    <t>조엘 김 부스터</t>
  </si>
  <si>
    <t>Roy Kinnear</t>
  </si>
  <si>
    <t>Leo McKern</t>
  </si>
  <si>
    <t>Prof.Foot</t>
  </si>
  <si>
    <t>Algernon</t>
  </si>
  <si>
    <t>바스터즈 URL</t>
  </si>
  <si>
    <t>1978.10.04</t>
  </si>
  <si>
    <t>2025.09.24</t>
  </si>
  <si>
    <t>Marc Behm</t>
  </si>
  <si>
    <t>2009.10.28</t>
  </si>
  <si>
    <t>2020.02.19</t>
  </si>
  <si>
    <t>Extraction</t>
  </si>
  <si>
    <t xml:space="preserve">토야 키쿠노스케 </t>
  </si>
  <si>
    <t>2020.04.24</t>
  </si>
  <si>
    <t>1917 URL</t>
  </si>
  <si>
    <t xml:space="preserve">인셉션 URL </t>
  </si>
  <si>
    <t>익스트렉션 URL</t>
  </si>
  <si>
    <t>2010.07.21</t>
  </si>
  <si>
    <t>Inception</t>
  </si>
  <si>
    <t>요시하라 타츠야</t>
  </si>
  <si>
    <t>쿠스노키 토모리</t>
  </si>
  <si>
    <t>Aki (voice)</t>
  </si>
  <si>
    <t>Jack Riley</t>
  </si>
  <si>
    <t>Mason Dixon</t>
  </si>
  <si>
    <t>Salesman</t>
  </si>
  <si>
    <t>마이클 패스벤더</t>
  </si>
  <si>
    <t>Shosanna</t>
  </si>
  <si>
    <t>크리스토프 발츠</t>
  </si>
  <si>
    <t xml:space="preserve">케데헌2 URL </t>
  </si>
  <si>
    <t>타인의 꿈에 들어가 생각을 훔치는 특수 보안요원 코브. 그를 이용해 라이벌 기업의 정보를 빼내고자 하는 사이토는 코브에게 생각을 훔치는 것이 아닌, 생각을 심는 ‘인셉션’ 작전을 제안한다. 성공 조건으로 국제적인 수배자가 되어있는 코브의 신분을 바꿔주겠다는 거부할 수 없는 제안을 하고, 사랑하는 아이들에게 돌아가기 위해 그 제안을 받아들인다. 최강의 팀을 구성, 표적인 피셔에게 접근해서 ‘인셉션’ 작전을 실행하지만 예기치 못한 사건들과 마주하게 되는데… 꿈 VS 현실! 시간, 규칙, 타이밍 모든 것이 완벽해야만 하는, 단 한 번도 성공한 적 없는 ‘인셉션’ 작전이 시작된다!</t>
  </si>
  <si>
    <t>Untitled Kpop Demon Hunters Sequel</t>
  </si>
  <si>
    <t>Stop worrying! HELP! is on the way!</t>
  </si>
  <si>
    <t>A new musical-comedy-horror show!</t>
  </si>
  <si>
    <t>원제</t>
  </si>
  <si>
    <t>수익</t>
  </si>
  <si>
    <t>제작비</t>
  </si>
  <si>
    <t>모험</t>
  </si>
  <si>
    <t>GB</t>
  </si>
  <si>
    <t>코미디</t>
  </si>
  <si>
    <t>개요</t>
  </si>
  <si>
    <t>영어</t>
  </si>
  <si>
    <t>개봉됨</t>
  </si>
  <si>
    <t>유지영</t>
  </si>
  <si>
    <t>김윤진</t>
  </si>
  <si>
    <t>상태</t>
  </si>
  <si>
    <t>제목</t>
  </si>
  <si>
    <t>판타지</t>
  </si>
  <si>
    <t>원어</t>
  </si>
  <si>
    <t>각본</t>
  </si>
  <si>
    <t>소개글</t>
  </si>
  <si>
    <t>연출</t>
  </si>
  <si>
    <t>안효섭</t>
  </si>
  <si>
    <t>음악</t>
  </si>
  <si>
    <t>분류명</t>
  </si>
  <si>
    <t>KR</t>
  </si>
  <si>
    <t>U</t>
  </si>
  <si>
    <t>가족</t>
  </si>
  <si>
    <t>켄 정</t>
  </si>
  <si>
    <t>Avi</t>
  </si>
  <si>
    <t>PG</t>
  </si>
  <si>
    <t>US</t>
  </si>
  <si>
    <t>인셉션</t>
  </si>
  <si>
    <t>일본어</t>
  </si>
  <si>
    <t>존 윅</t>
  </si>
  <si>
    <t>MK-20260226-000004</t>
  </si>
  <si>
    <t>MK-20260226-000005</t>
  </si>
  <si>
    <t>MK-20260226-000003</t>
  </si>
  <si>
    <t>MK-20260226-000006</t>
  </si>
  <si>
    <t>MK-20260226-000007</t>
  </si>
  <si>
    <t>MK-20260226-000002</t>
  </si>
  <si>
    <t xml:space="preserve"> When the mission ends, redemption begins</t>
  </si>
  <si>
    <t>Attack of the Killer Tomatoes!</t>
  </si>
  <si>
    <t>샘 하그레이브</t>
  </si>
  <si>
    <r>
      <t>劇場版 チェンソ</t>
    </r>
    <r>
      <rPr>
        <sz val="11"/>
        <color rgb="FF000000"/>
        <rFont val="맑은 고딕"/>
        <family val="3"/>
        <charset val="129"/>
      </rPr>
      <t>ーマン レゼ篇</t>
    </r>
  </si>
  <si>
    <t xml:space="preserve">헬프 포스터 URL  </t>
  </si>
  <si>
    <t>Denji (voice)</t>
  </si>
  <si>
    <t>Beam (voice)</t>
  </si>
  <si>
    <t>David Miller</t>
  </si>
  <si>
    <t>Ernie Meyers</t>
  </si>
  <si>
    <t>Victor Spinetti</t>
  </si>
  <si>
    <t xml:space="preserve">Eleanor Bron </t>
  </si>
  <si>
    <t>Mira (voice)</t>
  </si>
  <si>
    <t>Richard Lester</t>
  </si>
  <si>
    <t>Makima (voice)</t>
  </si>
  <si>
    <t>Power (voice)</t>
  </si>
  <si>
    <t>바스터즈: 거친 녀석들</t>
  </si>
  <si>
    <t>Gwi-Ma (voice)</t>
  </si>
  <si>
    <t>Reze (voice)</t>
  </si>
  <si>
    <t>George Wilson</t>
  </si>
  <si>
    <t>Sharon Taylor</t>
  </si>
  <si>
    <t>Jinu (voice)</t>
  </si>
  <si>
    <t>Kobeni (voice)</t>
  </si>
  <si>
    <t>극장판 체인소 맨 : 레제편</t>
  </si>
  <si>
    <t>Zoey (voice)</t>
  </si>
  <si>
    <t>생각을 훔치는 거대한 전쟁</t>
  </si>
  <si>
    <t>Rumi (voice)</t>
  </si>
  <si>
    <t>Celine (voice)</t>
  </si>
  <si>
    <t>Bobby (voice)</t>
  </si>
  <si>
    <t>John Bluthal</t>
  </si>
  <si>
    <t>Charles Wood</t>
  </si>
  <si>
    <t>Captain Smith</t>
  </si>
  <si>
    <t>John De Bello</t>
  </si>
  <si>
    <t>Eric Christmas</t>
  </si>
  <si>
    <t>COL. Hans Landa</t>
  </si>
  <si>
    <t>The President</t>
  </si>
  <si>
    <t>Peter Browing</t>
  </si>
  <si>
    <t>Derek Kolstad</t>
  </si>
  <si>
    <t>Viggo Tarasov</t>
  </si>
  <si>
    <t>Nigel Barber</t>
  </si>
  <si>
    <t>Pankaj Tripathi</t>
  </si>
  <si>
    <t>그를 건드리지 말았어야 했다</t>
  </si>
  <si>
    <t>Iosef Tarasov</t>
  </si>
  <si>
    <t>Costa Dillon</t>
  </si>
  <si>
    <t>Senator Polk</t>
  </si>
  <si>
    <t>Shivam Vichare</t>
  </si>
  <si>
    <t>Ovi Mahajan Sr.</t>
  </si>
  <si>
    <t>Guard at Gate</t>
  </si>
  <si>
    <t>Charles White</t>
  </si>
  <si>
    <t>LT.Aldo Raine</t>
  </si>
  <si>
    <t>Gedeon Burkhard</t>
  </si>
  <si>
    <t>Rick Rockwell</t>
  </si>
  <si>
    <t>Jim Richardson</t>
  </si>
  <si>
    <t>Lois Fairchild</t>
  </si>
  <si>
    <t>LT.Archie Hicox</t>
  </si>
  <si>
    <t>Randeep hooda</t>
  </si>
  <si>
    <t>Fredrick Zoller</t>
  </si>
  <si>
    <t>Additional Voices (voice)</t>
  </si>
  <si>
    <t>Lance Corporal Schofield</t>
  </si>
  <si>
    <t>Variety Show Host 1 (voice)</t>
  </si>
  <si>
    <t>그들이 싸워야 할 것은 적이 아니라 시간이었다</t>
  </si>
  <si>
    <t>The Violence Fiend (voice)</t>
  </si>
  <si>
    <t>관람등급</t>
  </si>
  <si>
    <t>개봉국가</t>
  </si>
  <si>
    <t>해나 맥메찬</t>
  </si>
  <si>
    <t>제작진ID</t>
  </si>
  <si>
    <t xml:space="preserve">상영시간 </t>
  </si>
  <si>
    <t>영화ID</t>
  </si>
  <si>
    <t>애니메이션</t>
  </si>
  <si>
    <t xml:space="preserve">헬프 ! </t>
  </si>
  <si>
    <t>제작진 역할</t>
  </si>
  <si>
    <t>Story</t>
  </si>
  <si>
    <t>장르ID</t>
  </si>
  <si>
    <t>개봉연도</t>
  </si>
  <si>
    <t>매기 강</t>
  </si>
  <si>
    <t>케데헌 URL</t>
  </si>
  <si>
    <t>분류ID</t>
  </si>
  <si>
    <t xml:space="preserve">제작진 이름 </t>
  </si>
  <si>
    <t>다나 히메네스</t>
  </si>
  <si>
    <t>첸쏘맨 URL</t>
  </si>
  <si>
    <t>HELP!</t>
  </si>
  <si>
    <t>토마토 URL</t>
  </si>
  <si>
    <t>Bhuta</t>
  </si>
  <si>
    <t>Ahme</t>
  </si>
  <si>
    <t xml:space="preserve">영화ID </t>
  </si>
  <si>
    <t>크리스아펠한스</t>
  </si>
  <si>
    <t xml:space="preserve">이병헌 </t>
  </si>
  <si>
    <t>아덴 조</t>
  </si>
  <si>
    <t>John</t>
  </si>
  <si>
    <t>제작ID</t>
  </si>
  <si>
    <t>제작 예정</t>
  </si>
  <si>
    <t>Paul</t>
  </si>
  <si>
    <t>배우사진</t>
  </si>
  <si>
    <t>Ringo</t>
  </si>
  <si>
    <t xml:space="preserve">메이 홍 </t>
  </si>
  <si>
    <t>Writer</t>
  </si>
  <si>
    <t>프로필 사진</t>
  </si>
  <si>
    <t>링고 스타</t>
  </si>
  <si>
    <t>배우 이름</t>
  </si>
  <si>
    <t>배우ID</t>
  </si>
  <si>
    <t>George</t>
  </si>
  <si>
    <t>출연진ID</t>
  </si>
  <si>
    <t>출연진 역할</t>
  </si>
  <si>
    <t>다니엘 대 킴</t>
  </si>
  <si>
    <t>조지 해리슨</t>
  </si>
  <si>
    <t>존 레논</t>
  </si>
  <si>
    <t>폴 매카트니</t>
  </si>
  <si>
    <t>Clang</t>
  </si>
  <si>
    <t>제작진 파트</t>
  </si>
  <si>
    <t>클레어 듀버크</t>
  </si>
  <si>
    <t>콜린 퍼스</t>
  </si>
  <si>
    <t>다니엘 메이스</t>
  </si>
  <si>
    <t>Lauri</t>
  </si>
  <si>
    <t>조셉 고든레빗</t>
  </si>
  <si>
    <t>Gaspar</t>
  </si>
  <si>
    <t>우에다 레이나</t>
  </si>
  <si>
    <t>타카하시 카린</t>
  </si>
  <si>
    <t>앤드류 스콧</t>
  </si>
  <si>
    <t>사카타 쇼고</t>
  </si>
  <si>
    <t>다니엘 브륄</t>
  </si>
  <si>
    <t>브래드 피트</t>
  </si>
  <si>
    <t>우치다 마아야</t>
  </si>
  <si>
    <t>샘 멘데스</t>
  </si>
  <si>
    <t>토마토 공격대</t>
  </si>
  <si>
    <t>하나에 나츠키</t>
  </si>
  <si>
    <t>익스트랙션</t>
  </si>
  <si>
    <t>우치다 유우야</t>
  </si>
  <si>
    <t>파이루즈 아이</t>
  </si>
  <si>
    <t>세코 히로시</t>
  </si>
  <si>
    <t>일라이 로스</t>
  </si>
  <si>
    <t>다이앤 크루거</t>
  </si>
  <si>
    <t>틸 슈바이거</t>
  </si>
  <si>
    <t>Janitor</t>
  </si>
  <si>
    <t>멜라니 로랑</t>
  </si>
  <si>
    <t>데이비드 하버</t>
  </si>
  <si>
    <t>존 윅 URL</t>
  </si>
  <si>
    <t>Sachin</t>
  </si>
  <si>
    <t xml:space="preserve">조지 맥케이 </t>
  </si>
  <si>
    <t>Saju</t>
  </si>
  <si>
    <t>마크 스트롱</t>
  </si>
  <si>
    <t>리차드 매든</t>
  </si>
  <si>
    <t>와타나베 켄</t>
  </si>
  <si>
    <t>톰 하디</t>
  </si>
  <si>
    <t>엘리엇 페이지</t>
  </si>
  <si>
    <t>킬리언 머피</t>
  </si>
  <si>
    <t>Ariadne</t>
  </si>
  <si>
    <t>키아누 리브스</t>
  </si>
  <si>
    <t xml:space="preserve">딜립 라오 </t>
  </si>
  <si>
    <t>Arthur</t>
  </si>
  <si>
    <t>Kirill</t>
  </si>
  <si>
    <t>Saito</t>
  </si>
  <si>
    <t>Eames</t>
  </si>
  <si>
    <t>톰 베렌저</t>
  </si>
  <si>
    <t>알피 앨런</t>
  </si>
  <si>
    <t>Yusuf</t>
  </si>
  <si>
    <t>Marcus</t>
  </si>
  <si>
    <t>딘 윈터스</t>
  </si>
  <si>
    <t>Gregori</t>
  </si>
  <si>
    <t>월렘 대포</t>
  </si>
  <si>
    <t>Victor</t>
  </si>
  <si>
    <t>Lance Corporal Blake</t>
  </si>
  <si>
    <t>Inglourious Basterds</t>
  </si>
  <si>
    <t>Romance Saja (voice)</t>
  </si>
  <si>
    <t>Bridget von Hammersmark</t>
  </si>
  <si>
    <t>Krysty Wilson-Cairns</t>
  </si>
  <si>
    <t>MK-20260226-000029</t>
  </si>
  <si>
    <t>MK-20260226-000021</t>
  </si>
  <si>
    <t>MK-20260226-000023</t>
  </si>
  <si>
    <t>MK-20260226-000018</t>
  </si>
  <si>
    <t>MK-20260226-000016</t>
  </si>
  <si>
    <t>MK-20260226-000024</t>
  </si>
  <si>
    <t>MK-20260226-000019</t>
  </si>
  <si>
    <t>MK-20260226-000020</t>
  </si>
  <si>
    <t>MK-20260226-000026</t>
  </si>
  <si>
    <t>MK-20260226-000027</t>
  </si>
  <si>
    <t>MK-20260226-000030</t>
  </si>
  <si>
    <t>MK-20260226-000025</t>
  </si>
  <si>
    <t>MK-20260226-000022</t>
  </si>
  <si>
    <t>MK-20260226-000031</t>
  </si>
  <si>
    <t>MK-20260226-000028</t>
  </si>
  <si>
    <t>MK-20260226-000032</t>
  </si>
  <si>
    <t>MK-20260226-000017</t>
  </si>
  <si>
    <t>AC-20260226-000026</t>
  </si>
  <si>
    <t>AC-20260226-000031</t>
  </si>
  <si>
    <t>AC-20260226-000019</t>
  </si>
  <si>
    <t>AC-20260226-000022</t>
  </si>
  <si>
    <t>CT-20260226-000003</t>
  </si>
  <si>
    <t>AC-20260226-000032</t>
  </si>
  <si>
    <t>AC-20260226-000037</t>
  </si>
  <si>
    <t>CT-20260226-000002</t>
  </si>
  <si>
    <t>AC-20260226-000024</t>
  </si>
  <si>
    <t>AC-20260226-000027</t>
  </si>
  <si>
    <t>AC-20260226-000028</t>
  </si>
  <si>
    <t>AC-20260226-000025</t>
  </si>
  <si>
    <t>AC-20260226-000029</t>
  </si>
  <si>
    <t>AC-20260226-000033</t>
  </si>
  <si>
    <t>AC-20260226-000034</t>
  </si>
  <si>
    <t>AC-20260226-000035</t>
  </si>
  <si>
    <t>AC-20260226-000036</t>
  </si>
  <si>
    <t>AC-20260226-000030</t>
  </si>
  <si>
    <t>CT-20260226-000005</t>
  </si>
  <si>
    <t>AC-20260226-000020</t>
  </si>
  <si>
    <t>AC-20260226-000023</t>
  </si>
  <si>
    <t>CT-20260226-000004</t>
  </si>
  <si>
    <t>AC-20260226-000021</t>
  </si>
  <si>
    <t>AC-20260226-000039</t>
  </si>
  <si>
    <t>CT-20260226-000001</t>
  </si>
  <si>
    <t>AC-20260226-000052</t>
  </si>
  <si>
    <t>AC-20260226-000044</t>
  </si>
  <si>
    <t>AC-20260226-000043</t>
  </si>
  <si>
    <t>AC-20260226-000041</t>
  </si>
  <si>
    <t>AC-20260226-000046</t>
  </si>
  <si>
    <t>AC-20260226-000049</t>
  </si>
  <si>
    <t>AC-20260226-000053</t>
  </si>
  <si>
    <t>AC-20260226-000048</t>
  </si>
  <si>
    <t>AC-20260226-000042</t>
  </si>
  <si>
    <t>AC-20260226-000038</t>
  </si>
  <si>
    <t>AC-20260226-000045</t>
  </si>
  <si>
    <t>AC-20260226-000040</t>
  </si>
  <si>
    <t>AC-20260226-000047</t>
  </si>
  <si>
    <t>AC-20260226-000050</t>
  </si>
  <si>
    <t>AC-20260226-000054</t>
  </si>
  <si>
    <t>AC-20260226-000051</t>
  </si>
  <si>
    <t>AC-20260226-000055</t>
  </si>
  <si>
    <t>CT-20260226-000006</t>
  </si>
  <si>
    <t>AP-20260226-000078</t>
  </si>
  <si>
    <t>AP-20260226-000083</t>
  </si>
  <si>
    <t>AP-20260226-000081</t>
  </si>
  <si>
    <t>AP-20260226-000079</t>
  </si>
  <si>
    <t>AP-20260226-000082</t>
  </si>
  <si>
    <t>AP-20260226-000084</t>
  </si>
  <si>
    <t>AP-20260226-000080</t>
  </si>
  <si>
    <t>MV-20260226-000003</t>
  </si>
  <si>
    <t>MV-20260226-000006</t>
  </si>
  <si>
    <t>MV-20260226-000010</t>
  </si>
  <si>
    <t>MV-20260226-000007</t>
  </si>
  <si>
    <t>MV-20260226-000005</t>
  </si>
  <si>
    <t>MV-20260226-000008</t>
  </si>
  <si>
    <t>MV-20260226-000009</t>
  </si>
  <si>
    <t>MV-20260226-000004</t>
  </si>
  <si>
    <t>MV-20260226-000002</t>
  </si>
  <si>
    <t>13</t>
  </si>
  <si>
    <t>14</t>
  </si>
  <si>
    <t>15</t>
  </si>
  <si>
    <t>16</t>
  </si>
  <si>
    <t>17</t>
  </si>
  <si>
    <t>GN-20260226-000001</t>
  </si>
  <si>
    <t>GN-20260226-000005</t>
  </si>
  <si>
    <t>GN-20260226-000006</t>
  </si>
  <si>
    <t>GN-20260226-000008</t>
  </si>
  <si>
    <t>GN-20260226-000003</t>
  </si>
  <si>
    <t>GN-20260226-000010</t>
  </si>
  <si>
    <t>GN-20260226-000011</t>
  </si>
  <si>
    <t>GN-20260226-000009</t>
  </si>
  <si>
    <t>AC-20260226-000001</t>
  </si>
  <si>
    <t>GN-20260226-000004</t>
  </si>
  <si>
    <t>GN-20260226-000007</t>
  </si>
  <si>
    <t>GN-20260226-000002</t>
  </si>
  <si>
    <t>AC-20260226-000008</t>
  </si>
  <si>
    <t>AC-20260226-000012</t>
  </si>
  <si>
    <t>AC-20260226-000006</t>
  </si>
  <si>
    <t>AC-20260226-000002</t>
  </si>
  <si>
    <t>AC-20260226-000007</t>
  </si>
  <si>
    <t>AC-20260226-000013</t>
  </si>
  <si>
    <t>AC-20260226-000014</t>
  </si>
  <si>
    <t>AC-20260226-000015</t>
  </si>
  <si>
    <t>AC-20260226-000003</t>
  </si>
  <si>
    <t>AC-20260226-000005</t>
  </si>
  <si>
    <t>AC-20260226-000009</t>
  </si>
  <si>
    <t>AC-20260226-000010</t>
  </si>
  <si>
    <t>AC-20260226-000016</t>
  </si>
  <si>
    <t>AC-20260226-000011</t>
  </si>
  <si>
    <t>AC-20260226-000017</t>
  </si>
  <si>
    <t>AC-20260226-000018</t>
  </si>
  <si>
    <t>AC-20260226-000004</t>
  </si>
  <si>
    <t>23</t>
  </si>
  <si>
    <t>19</t>
  </si>
  <si>
    <t>32</t>
  </si>
  <si>
    <t>27</t>
  </si>
  <si>
    <t>26</t>
  </si>
  <si>
    <t>28</t>
  </si>
  <si>
    <t>29</t>
  </si>
  <si>
    <t>22</t>
  </si>
  <si>
    <t>25</t>
  </si>
  <si>
    <t>24</t>
  </si>
  <si>
    <t>21</t>
  </si>
  <si>
    <t>30</t>
  </si>
  <si>
    <t>20</t>
  </si>
  <si>
    <t>31</t>
  </si>
  <si>
    <t>18</t>
  </si>
  <si>
    <t>AC-20260226-000064</t>
  </si>
  <si>
    <t>AC-20260226-000066</t>
  </si>
  <si>
    <t>AC-20260226-000067</t>
  </si>
  <si>
    <t>AC-20260226-000068</t>
  </si>
  <si>
    <t>AC-20260226-000070</t>
  </si>
  <si>
    <t>PD-20260226-000001</t>
  </si>
  <si>
    <t>AC-20260226-000069</t>
  </si>
  <si>
    <t>AC-20260226-000071</t>
  </si>
  <si>
    <t>AC-20260226-000057</t>
  </si>
  <si>
    <t>AC-20260226-000060</t>
  </si>
  <si>
    <t>AC-20260226-000059</t>
  </si>
  <si>
    <t>AC-20260226-000062</t>
  </si>
  <si>
    <t>AC-20260226-000065</t>
  </si>
  <si>
    <t>AC-20260226-000056</t>
  </si>
  <si>
    <t>AC-20260226-000058</t>
  </si>
  <si>
    <t>AC-20260226-000061</t>
  </si>
  <si>
    <t>AC-20260226-000063</t>
  </si>
  <si>
    <t>PD-20260226-000002</t>
  </si>
  <si>
    <t>PD-20260226-000004</t>
  </si>
  <si>
    <t>AC-20260226-000074</t>
  </si>
  <si>
    <t>PD-20260226-000003</t>
  </si>
  <si>
    <t>AC-20260226-000079</t>
  </si>
  <si>
    <t>PD-20260226-000005</t>
  </si>
  <si>
    <t>PD-20260226-000006</t>
  </si>
  <si>
    <t>PD-20260226-000007</t>
  </si>
  <si>
    <t>AC-20260226-000080</t>
  </si>
  <si>
    <t>AC-20260226-000075</t>
  </si>
  <si>
    <t>AC-20260226-000076</t>
  </si>
  <si>
    <t>PD-20260226-000008</t>
  </si>
  <si>
    <t>AC-20260226-000072</t>
  </si>
  <si>
    <t>PD-20260226-000009</t>
  </si>
  <si>
    <t>PD-20260226-000010</t>
  </si>
  <si>
    <t>PD-20260226-000011</t>
  </si>
  <si>
    <t>AC-20260226-000073</t>
  </si>
  <si>
    <t>PD-20260226-000012</t>
  </si>
  <si>
    <t>AC-20260226-000077</t>
  </si>
  <si>
    <t>PD-20260226-000018</t>
  </si>
  <si>
    <t>AC-20260226-000078</t>
  </si>
  <si>
    <t>AC-20260226-000081</t>
  </si>
  <si>
    <t>PD-20260226-000017</t>
  </si>
  <si>
    <t>PD-20260226-000013</t>
  </si>
  <si>
    <t>PD-20260226-000016</t>
  </si>
  <si>
    <t>PD-20260226-000015</t>
  </si>
  <si>
    <t>PD-20260226-000014</t>
  </si>
  <si>
    <t>AP-20260226-000085</t>
  </si>
  <si>
    <t>AP-20260226-000002</t>
  </si>
  <si>
    <t>AP-20260226-000004</t>
  </si>
  <si>
    <t>AP-20260226-000003</t>
  </si>
  <si>
    <t>AP-20260226-000005</t>
  </si>
  <si>
    <t>AP-20260226-000006</t>
  </si>
  <si>
    <t>AP-20260226-000007</t>
  </si>
  <si>
    <t>AP-20260226-000008</t>
  </si>
  <si>
    <t>AP-20260226-000010</t>
  </si>
  <si>
    <t>AP-20260226-000011</t>
  </si>
  <si>
    <t>AP-20260226-000009</t>
  </si>
  <si>
    <t>AP-20260226-000014</t>
  </si>
  <si>
    <t>AP-20260226-000015</t>
  </si>
  <si>
    <t>AP-20260226-000012</t>
  </si>
  <si>
    <t>AP-20260226-000013</t>
  </si>
  <si>
    <t>AP-20260226-000057</t>
  </si>
  <si>
    <t>AP-20260226-000061</t>
  </si>
  <si>
    <t>AP-20260226-000060</t>
  </si>
  <si>
    <t>AP-20260226-000056</t>
  </si>
  <si>
    <t>AP-20260226-000058</t>
  </si>
  <si>
    <t>AP-20260226-000062</t>
  </si>
  <si>
    <t>AP-20260226-000059</t>
  </si>
  <si>
    <t>AP-20260226-000063</t>
  </si>
  <si>
    <t>AP-20260226-000065</t>
  </si>
  <si>
    <t>AP-20260226-000066</t>
  </si>
  <si>
    <t>AP-20260226-000055</t>
  </si>
  <si>
    <t>AP-20260226-000064</t>
  </si>
  <si>
    <t>AP-20260226-000067</t>
  </si>
  <si>
    <t>쿠엔틴 타란티노</t>
  </si>
  <si>
    <t>AP-20260226-000001</t>
  </si>
  <si>
    <t>PD-20260226-000021</t>
  </si>
  <si>
    <t>PD-20260226-000020</t>
  </si>
  <si>
    <t>PD-20260226-000019</t>
  </si>
  <si>
    <t>AP-20260226-000023</t>
  </si>
  <si>
    <t>AP-20260226-000022</t>
  </si>
  <si>
    <t>AP-20260226-000043</t>
  </si>
  <si>
    <t>AP-20260226-000044</t>
  </si>
  <si>
    <t>AP-20260226-000045</t>
  </si>
  <si>
    <t>AP-20260226-000046</t>
  </si>
  <si>
    <t>AP-20260226-000028</t>
  </si>
  <si>
    <t>AP-20260226-000033</t>
  </si>
  <si>
    <t>AP-20260226-000020</t>
  </si>
  <si>
    <t>AP-20260226-000036</t>
  </si>
  <si>
    <t>AP-20260226-000029</t>
  </si>
  <si>
    <t>AP-20260226-000026</t>
  </si>
  <si>
    <t>AP-20260226-000034</t>
  </si>
  <si>
    <t>AP-20260226-000032</t>
  </si>
  <si>
    <t>AP-20260226-000025</t>
  </si>
  <si>
    <t>AP-20260226-000027</t>
  </si>
  <si>
    <t>AP-20260226-000041</t>
  </si>
  <si>
    <t>AP-20260226-000016</t>
  </si>
  <si>
    <t>AP-20260226-000038</t>
  </si>
  <si>
    <t>AP-20260226-000024</t>
  </si>
  <si>
    <t>AP-20260226-000018</t>
  </si>
  <si>
    <t>AP-20260226-000037</t>
  </si>
  <si>
    <t>AP-20260226-000019</t>
  </si>
  <si>
    <t>AP-20260226-000017</t>
  </si>
  <si>
    <t>AP-20260226-000021</t>
  </si>
  <si>
    <t>AP-20260226-000031</t>
  </si>
  <si>
    <t>AP-20260226-000030</t>
  </si>
  <si>
    <t>AP-20260226-000035</t>
  </si>
  <si>
    <t>AP-20260226-000039</t>
  </si>
  <si>
    <t>AP-20260226-000040</t>
  </si>
  <si>
    <t>AP-20260226-000042</t>
  </si>
  <si>
    <t>AP-20260226-000048</t>
  </si>
  <si>
    <t>AP-20260226-000050</t>
  </si>
  <si>
    <t>AP-20260226-000051</t>
  </si>
  <si>
    <t>AP-20260226-000047</t>
  </si>
  <si>
    <t>AP-20260226-000053</t>
  </si>
  <si>
    <t>AP-20260226-000049</t>
  </si>
  <si>
    <t>AP-20260226-000054</t>
  </si>
  <si>
    <t>AP-20260226-000052</t>
  </si>
  <si>
    <t>MOVIE_ID</t>
    <phoneticPr fontId="5" type="noConversion"/>
  </si>
  <si>
    <t>POSTER_URL</t>
  </si>
  <si>
    <t>TITLE</t>
    <phoneticPr fontId="5" type="noConversion"/>
  </si>
  <si>
    <t>MOVIE_RATING</t>
    <phoneticPr fontId="5" type="noConversion"/>
  </si>
  <si>
    <t>OPEN_DATE</t>
    <phoneticPr fontId="5" type="noConversion"/>
  </si>
  <si>
    <t>OPEN_COUNTRY</t>
  </si>
  <si>
    <t>RUNNING_TIME</t>
  </si>
  <si>
    <t>INTRODUCE</t>
    <phoneticPr fontId="5" type="noConversion"/>
  </si>
  <si>
    <t>SYNOPSIS</t>
  </si>
  <si>
    <t>ORIGNAL_TITLE</t>
  </si>
  <si>
    <t>STATE</t>
    <phoneticPr fontId="5" type="noConversion"/>
  </si>
  <si>
    <t>LANGUAGE</t>
  </si>
  <si>
    <t>BUDGET</t>
  </si>
  <si>
    <t>PROFIT</t>
  </si>
  <si>
    <t>INSERT INTO ACTORS (ACTOR_ID, ACTOR_NAME, PROFILE_PIC) VALUES ('AC-' || TO_CHAR(SYSDATE, 'YYYYMMDD-') || LPAD(SEQ_ACTORS_PK.NEXTVAL, 6, 0), '</t>
    <phoneticPr fontId="5" type="noConversion"/>
  </si>
  <si>
    <t>INSERT INTO ACTORS (ACTOR_ID, ACTOR_NAME, PROFILE_PIC) VALUES ('AC-' || TO_CHAR(SYSDATE, 'YYYYMMDD-') || LPAD(SEQ_ACTORS_PK.NEXTVAL, 6, 0), '아덴 조','배우사진');</t>
  </si>
  <si>
    <t>INSERT INTO ACTORS (ACTOR_ID, ACTOR_NAME, PROFILE_PIC) VALUES ('AC-' || TO_CHAR(SYSDATE, 'YYYYMMDD-') || LPAD(SEQ_ACTORS_PK.NEXTVAL, 6, 0), '메이 홍 ','배우사진');</t>
  </si>
  <si>
    <t>INSERT INTO ACTORS (ACTOR_ID, ACTOR_NAME, PROFILE_PIC) VALUES ('AC-' || TO_CHAR(SYSDATE, 'YYYYMMDD-') || LPAD(SEQ_ACTORS_PK.NEXTVAL, 6, 0), '유지영','배우사진');</t>
  </si>
  <si>
    <t>INSERT INTO ACTORS (ACTOR_ID, ACTOR_NAME, PROFILE_PIC) VALUES ('AC-' || TO_CHAR(SYSDATE, 'YYYYMMDD-') || LPAD(SEQ_ACTORS_PK.NEXTVAL, 6, 0), '안효섭','배우사진');</t>
  </si>
  <si>
    <t>INSERT INTO ACTORS (ACTOR_ID, ACTOR_NAME, PROFILE_PIC) VALUES ('AC-' || TO_CHAR(SYSDATE, 'YYYYMMDD-') || LPAD(SEQ_ACTORS_PK.NEXTVAL, 6, 0), '김윤진','배우사진');</t>
  </si>
  <si>
    <t>INSERT INTO ACTORS (ACTOR_ID, ACTOR_NAME, PROFILE_PIC) VALUES ('AC-' || TO_CHAR(SYSDATE, 'YYYYMMDD-') || LPAD(SEQ_ACTORS_PK.NEXTVAL, 6, 0), '켄 정','배우사진');</t>
  </si>
  <si>
    <t>INSERT INTO ACTORS (ACTOR_ID, ACTOR_NAME, PROFILE_PIC) VALUES ('AC-' || TO_CHAR(SYSDATE, 'YYYYMMDD-') || LPAD(SEQ_ACTORS_PK.NEXTVAL, 6, 0), '이병헌 ','배우사진');</t>
  </si>
  <si>
    <t>INSERT INTO ACTORS (ACTOR_ID, ACTOR_NAME, PROFILE_PIC) VALUES ('AC-' || TO_CHAR(SYSDATE, 'YYYYMMDD-') || LPAD(SEQ_ACTORS_PK.NEXTVAL, 6, 0), '다니엘 대 킴','배우사진');</t>
  </si>
  <si>
    <t>INSERT INTO ACTORS (ACTOR_ID, ACTOR_NAME, PROFILE_PIC) VALUES ('AC-' || TO_CHAR(SYSDATE, 'YYYYMMDD-') || LPAD(SEQ_ACTORS_PK.NEXTVAL, 6, 0), '조엘 김 부스터','배우사진');</t>
  </si>
  <si>
    <t>INSERT INTO ACTORS (ACTOR_ID, ACTOR_NAME, PROFILE_PIC) VALUES ('AC-' || TO_CHAR(SYSDATE, 'YYYYMMDD-') || LPAD(SEQ_ACTORS_PK.NEXTVAL, 6, 0), '조지 해리슨','배우사진');</t>
  </si>
  <si>
    <t>INSERT INTO ACTORS (ACTOR_ID, ACTOR_NAME, PROFILE_PIC) VALUES ('AC-' || TO_CHAR(SYSDATE, 'YYYYMMDD-') || LPAD(SEQ_ACTORS_PK.NEXTVAL, 6, 0), '존 레논','배우사진');</t>
  </si>
  <si>
    <t>INSERT INTO ACTORS (ACTOR_ID, ACTOR_NAME, PROFILE_PIC) VALUES ('AC-' || TO_CHAR(SYSDATE, 'YYYYMMDD-') || LPAD(SEQ_ACTORS_PK.NEXTVAL, 6, 0), '폴 매카트니','배우사진');</t>
  </si>
  <si>
    <t>INSERT INTO ACTORS (ACTOR_ID, ACTOR_NAME, PROFILE_PIC) VALUES ('AC-' || TO_CHAR(SYSDATE, 'YYYYMMDD-') || LPAD(SEQ_ACTORS_PK.NEXTVAL, 6, 0), '링고 스타','배우사진');</t>
  </si>
  <si>
    <t>INSERT INTO ACTORS (ACTOR_ID, ACTOR_NAME, PROFILE_PIC) VALUES ('AC-' || TO_CHAR(SYSDATE, 'YYYYMMDD-') || LPAD(SEQ_ACTORS_PK.NEXTVAL, 6, 0), 'Leo McKern','배우사진');</t>
  </si>
  <si>
    <t>INSERT INTO ACTORS (ACTOR_ID, ACTOR_NAME, PROFILE_PIC) VALUES ('AC-' || TO_CHAR(SYSDATE, 'YYYYMMDD-') || LPAD(SEQ_ACTORS_PK.NEXTVAL, 6, 0), 'Eleanor Bron ','배우사진');</t>
  </si>
  <si>
    <t>INSERT INTO ACTORS (ACTOR_ID, ACTOR_NAME, PROFILE_PIC) VALUES ('AC-' || TO_CHAR(SYSDATE, 'YYYYMMDD-') || LPAD(SEQ_ACTORS_PK.NEXTVAL, 6, 0), 'Victor Spinetti','배우사진');</t>
  </si>
  <si>
    <t>INSERT INTO ACTORS (ACTOR_ID, ACTOR_NAME, PROFILE_PIC) VALUES ('AC-' || TO_CHAR(SYSDATE, 'YYYYMMDD-') || LPAD(SEQ_ACTORS_PK.NEXTVAL, 6, 0), 'Roy Kinnear','배우사진');</t>
  </si>
  <si>
    <t>INSERT INTO ACTORS (ACTOR_ID, ACTOR_NAME, PROFILE_PIC) VALUES ('AC-' || TO_CHAR(SYSDATE, 'YYYYMMDD-') || LPAD(SEQ_ACTORS_PK.NEXTVAL, 6, 0), 'John Bluthal','배우사진');</t>
  </si>
  <si>
    <t>INSERT INTO ACTORS (ACTOR_ID, ACTOR_NAME, PROFILE_PIC) VALUES ('AC-' || TO_CHAR(SYSDATE, 'YYYYMMDD-') || LPAD(SEQ_ACTORS_PK.NEXTVAL, 6, 0), '토야 키쿠노스케 ','배우사진');</t>
  </si>
  <si>
    <t>INSERT INTO ACTORS (ACTOR_ID, ACTOR_NAME, PROFILE_PIC) VALUES ('AC-' || TO_CHAR(SYSDATE, 'YYYYMMDD-') || LPAD(SEQ_ACTORS_PK.NEXTVAL, 6, 0), '우에다 레이나','배우사진');</t>
  </si>
  <si>
    <t>INSERT INTO ACTORS (ACTOR_ID, ACTOR_NAME, PROFILE_PIC) VALUES ('AC-' || TO_CHAR(SYSDATE, 'YYYYMMDD-') || LPAD(SEQ_ACTORS_PK.NEXTVAL, 6, 0), '쿠스노키 토모리','배우사진');</t>
  </si>
  <si>
    <t>INSERT INTO ACTORS (ACTOR_ID, ACTOR_NAME, PROFILE_PIC) VALUES ('AC-' || TO_CHAR(SYSDATE, 'YYYYMMDD-') || LPAD(SEQ_ACTORS_PK.NEXTVAL, 6, 0), '사카타 쇼고','배우사진');</t>
  </si>
  <si>
    <t>INSERT INTO ACTORS (ACTOR_ID, ACTOR_NAME, PROFILE_PIC) VALUES ('AC-' || TO_CHAR(SYSDATE, 'YYYYMMDD-') || LPAD(SEQ_ACTORS_PK.NEXTVAL, 6, 0), '우치다 마아야','배우사진');</t>
  </si>
  <si>
    <t>INSERT INTO ACTORS (ACTOR_ID, ACTOR_NAME, PROFILE_PIC) VALUES ('AC-' || TO_CHAR(SYSDATE, 'YYYYMMDD-') || LPAD(SEQ_ACTORS_PK.NEXTVAL, 6, 0), '하나에 나츠키','배우사진');</t>
  </si>
  <si>
    <t>INSERT INTO ACTORS (ACTOR_ID, ACTOR_NAME, PROFILE_PIC) VALUES ('AC-' || TO_CHAR(SYSDATE, 'YYYYMMDD-') || LPAD(SEQ_ACTORS_PK.NEXTVAL, 6, 0), '타카하시 카린','배우사진');</t>
  </si>
  <si>
    <t>INSERT INTO ACTORS (ACTOR_ID, ACTOR_NAME, PROFILE_PIC) VALUES ('AC-' || TO_CHAR(SYSDATE, 'YYYYMMDD-') || LPAD(SEQ_ACTORS_PK.NEXTVAL, 6, 0), '파이루즈 아이','배우사진');</t>
  </si>
  <si>
    <t>INSERT INTO ACTORS (ACTOR_ID, ACTOR_NAME, PROFILE_PIC) VALUES ('AC-' || TO_CHAR(SYSDATE, 'YYYYMMDD-') || LPAD(SEQ_ACTORS_PK.NEXTVAL, 6, 0), '우치다 유우야','배우사진');</t>
  </si>
  <si>
    <t>INSERT INTO ACTORS (ACTOR_ID, ACTOR_NAME, PROFILE_PIC) VALUES ('AC-' || TO_CHAR(SYSDATE, 'YYYYMMDD-') || LPAD(SEQ_ACTORS_PK.NEXTVAL, 6, 0), 'David Miller','');</t>
  </si>
  <si>
    <t>INSERT INTO ACTORS (ACTOR_ID, ACTOR_NAME, PROFILE_PIC) VALUES ('AC-' || TO_CHAR(SYSDATE, 'YYYYMMDD-') || LPAD(SEQ_ACTORS_PK.NEXTVAL, 6, 0), 'George Wilson','');</t>
  </si>
  <si>
    <t>INSERT INTO ACTORS (ACTOR_ID, ACTOR_NAME, PROFILE_PIC) VALUES ('AC-' || TO_CHAR(SYSDATE, 'YYYYMMDD-') || LPAD(SEQ_ACTORS_PK.NEXTVAL, 6, 0), 'Sharon Taylor','');</t>
  </si>
  <si>
    <t>INSERT INTO ACTORS (ACTOR_ID, ACTOR_NAME, PROFILE_PIC) VALUES ('AC-' || TO_CHAR(SYSDATE, 'YYYYMMDD-') || LPAD(SEQ_ACTORS_PK.NEXTVAL, 6, 0), 'J. Stephen Peace','');</t>
  </si>
  <si>
    <t>INSERT INTO ACTORS (ACTOR_ID, ACTOR_NAME, PROFILE_PIC) VALUES ('AC-' || TO_CHAR(SYSDATE, 'YYYYMMDD-') || LPAD(SEQ_ACTORS_PK.NEXTVAL, 6, 0), 'Ernie Meyers','');</t>
  </si>
  <si>
    <t>INSERT INTO ACTORS (ACTOR_ID, ACTOR_NAME, PROFILE_PIC) VALUES ('AC-' || TO_CHAR(SYSDATE, 'YYYYMMDD-') || LPAD(SEQ_ACTORS_PK.NEXTVAL, 6, 0), 'Eric Christmas','배우사진');</t>
  </si>
  <si>
    <t>INSERT INTO ACTORS (ACTOR_ID, ACTOR_NAME, PROFILE_PIC) VALUES ('AC-' || TO_CHAR(SYSDATE, 'YYYYMMDD-') || LPAD(SEQ_ACTORS_PK.NEXTVAL, 6, 0), 'Jack Riley','배우사진');</t>
  </si>
  <si>
    <t>INSERT INTO ACTORS (ACTOR_ID, ACTOR_NAME, PROFILE_PIC) VALUES ('AC-' || TO_CHAR(SYSDATE, 'YYYYMMDD-') || LPAD(SEQ_ACTORS_PK.NEXTVAL, 6, 0), 'Nigel Barber','배우사진');</t>
  </si>
  <si>
    <t>INSERT INTO ACTORS (ACTOR_ID, ACTOR_NAME, PROFILE_PIC) VALUES ('AC-' || TO_CHAR(SYSDATE, 'YYYYMMDD-') || LPAD(SEQ_ACTORS_PK.NEXTVAL, 6, 0), 'John De Bello','배우사진');</t>
  </si>
  <si>
    <t>INSERT INTO ACTORS (ACTOR_ID, ACTOR_NAME, PROFILE_PIC) VALUES ('AC-' || TO_CHAR(SYSDATE, 'YYYYMMDD-') || LPAD(SEQ_ACTORS_PK.NEXTVAL, 6, 0), '브래드 피트','배우사진');</t>
  </si>
  <si>
    <t>INSERT INTO ACTORS (ACTOR_ID, ACTOR_NAME, PROFILE_PIC) VALUES ('AC-' || TO_CHAR(SYSDATE, 'YYYYMMDD-') || LPAD(SEQ_ACTORS_PK.NEXTVAL, 6, 0), '멜라니 로랑','배우사진');</t>
  </si>
  <si>
    <t>INSERT INTO ACTORS (ACTOR_ID, ACTOR_NAME, PROFILE_PIC) VALUES ('AC-' || TO_CHAR(SYSDATE, 'YYYYMMDD-') || LPAD(SEQ_ACTORS_PK.NEXTVAL, 6, 0), '크리스토프 발츠','배우사진');</t>
  </si>
  <si>
    <t>INSERT INTO ACTORS (ACTOR_ID, ACTOR_NAME, PROFILE_PIC) VALUES ('AC-' || TO_CHAR(SYSDATE, 'YYYYMMDD-') || LPAD(SEQ_ACTORS_PK.NEXTVAL, 6, 0), '일라이 로스','배우사진');</t>
  </si>
  <si>
    <t>INSERT INTO ACTORS (ACTOR_ID, ACTOR_NAME, PROFILE_PIC) VALUES ('AC-' || TO_CHAR(SYSDATE, 'YYYYMMDD-') || LPAD(SEQ_ACTORS_PK.NEXTVAL, 6, 0), '마이클 패스벤더','배우사진');</t>
  </si>
  <si>
    <t>INSERT INTO ACTORS (ACTOR_ID, ACTOR_NAME, PROFILE_PIC) VALUES ('AC-' || TO_CHAR(SYSDATE, 'YYYYMMDD-') || LPAD(SEQ_ACTORS_PK.NEXTVAL, 6, 0), '다이앤 크루거','배우사진');</t>
  </si>
  <si>
    <t>INSERT INTO ACTORS (ACTOR_ID, ACTOR_NAME, PROFILE_PIC) VALUES ('AC-' || TO_CHAR(SYSDATE, 'YYYYMMDD-') || LPAD(SEQ_ACTORS_PK.NEXTVAL, 6, 0), '다니엘 브륄','배우사진');</t>
  </si>
  <si>
    <t>INSERT INTO ACTORS (ACTOR_ID, ACTOR_NAME, PROFILE_PIC) VALUES ('AC-' || TO_CHAR(SYSDATE, 'YYYYMMDD-') || LPAD(SEQ_ACTORS_PK.NEXTVAL, 6, 0), '틸 슈바이거','배우사진');</t>
  </si>
  <si>
    <t>INSERT INTO ACTORS (ACTOR_ID, ACTOR_NAME, PROFILE_PIC) VALUES ('AC-' || TO_CHAR(SYSDATE, 'YYYYMMDD-') || LPAD(SEQ_ACTORS_PK.NEXTVAL, 6, 0), 'Gedeon Burkhard','배우사진');</t>
  </si>
  <si>
    <t>INSERT INTO ACTORS (ACTOR_ID, ACTOR_NAME, PROFILE_PIC) VALUES ('AC-' || TO_CHAR(SYSDATE, 'YYYYMMDD-') || LPAD(SEQ_ACTORS_PK.NEXTVAL, 6, 0), '크리스 햄스워스','배우사진');</t>
  </si>
  <si>
    <t>INSERT INTO ACTORS (ACTOR_ID, ACTOR_NAME, PROFILE_PIC) VALUES ('AC-' || TO_CHAR(SYSDATE, 'YYYYMMDD-') || LPAD(SEQ_ACTORS_PK.NEXTVAL, 6, 0), 'Rudhraksh Jaiswal','배우사진');</t>
  </si>
  <si>
    <t>INSERT INTO ACTORS (ACTOR_ID, ACTOR_NAME, PROFILE_PIC) VALUES ('AC-' || TO_CHAR(SYSDATE, 'YYYYMMDD-') || LPAD(SEQ_ACTORS_PK.NEXTVAL, 6, 0), 'Randeep hooda','배우사진');</t>
  </si>
  <si>
    <t>INSERT INTO ACTORS (ACTOR_ID, ACTOR_NAME, PROFILE_PIC) VALUES ('AC-' || TO_CHAR(SYSDATE, 'YYYYMMDD-') || LPAD(SEQ_ACTORS_PK.NEXTVAL, 6, 0), '골쉬프테 파라하니','배우사진');</t>
  </si>
  <si>
    <t>INSERT INTO ACTORS (ACTOR_ID, ACTOR_NAME, PROFILE_PIC) VALUES ('AC-' || TO_CHAR(SYSDATE, 'YYYYMMDD-') || LPAD(SEQ_ACTORS_PK.NEXTVAL, 6, 0), 'Pankaj Tripathi','배우사진');</t>
  </si>
  <si>
    <t>INSERT INTO ACTORS (ACTOR_ID, ACTOR_NAME, PROFILE_PIC) VALUES ('AC-' || TO_CHAR(SYSDATE, 'YYYYMMDD-') || LPAD(SEQ_ACTORS_PK.NEXTVAL, 6, 0), '데이비드 하버','배우사진');</t>
  </si>
  <si>
    <t>INSERT INTO ACTORS (ACTOR_ID, ACTOR_NAME, PROFILE_PIC) VALUES ('AC-' || TO_CHAR(SYSDATE, 'YYYYMMDD-') || LPAD(SEQ_ACTORS_PK.NEXTVAL, 6, 0), 'Bryon Lerum','');</t>
  </si>
  <si>
    <t>INSERT INTO ACTORS (ACTOR_ID, ACTOR_NAME, PROFILE_PIC) VALUES ('AC-' || TO_CHAR(SYSDATE, 'YYYYMMDD-') || LPAD(SEQ_ACTORS_PK.NEXTVAL, 6, 0), 'Ryder Lerum','');</t>
  </si>
  <si>
    <t>INSERT INTO ACTORS (ACTOR_ID, ACTOR_NAME, PROFILE_PIC) VALUES ('AC-' || TO_CHAR(SYSDATE, 'YYYYMMDD-') || LPAD(SEQ_ACTORS_PK.NEXTVAL, 6, 0), 'Shivam Vichare','배우사진');</t>
  </si>
  <si>
    <t>INSERT INTO ACTORS (ACTOR_ID, ACTOR_NAME, PROFILE_PIC) VALUES ('AC-' || TO_CHAR(SYSDATE, 'YYYYMMDD-') || LPAD(SEQ_ACTORS_PK.NEXTVAL, 6, 0), '조지 맥케이 ','배우사진');</t>
  </si>
  <si>
    <t>INSERT INTO ACTORS (ACTOR_ID, ACTOR_NAME, PROFILE_PIC) VALUES ('AC-' || TO_CHAR(SYSDATE, 'YYYYMMDD-') || LPAD(SEQ_ACTORS_PK.NEXTVAL, 6, 0), '딘-찰스 채프먼','배우사진');</t>
  </si>
  <si>
    <t>INSERT INTO ACTORS (ACTOR_ID, ACTOR_NAME, PROFILE_PIC) VALUES ('AC-' || TO_CHAR(SYSDATE, 'YYYYMMDD-') || LPAD(SEQ_ACTORS_PK.NEXTVAL, 6, 0), '마크 스트롱','배우사진');</t>
  </si>
  <si>
    <t>INSERT INTO ACTORS (ACTOR_ID, ACTOR_NAME, PROFILE_PIC) VALUES ('AC-' || TO_CHAR(SYSDATE, 'YYYYMMDD-') || LPAD(SEQ_ACTORS_PK.NEXTVAL, 6, 0), '앤드류 스콧','배우사진');</t>
  </si>
  <si>
    <t>INSERT INTO ACTORS (ACTOR_ID, ACTOR_NAME, PROFILE_PIC) VALUES ('AC-' || TO_CHAR(SYSDATE, 'YYYYMMDD-') || LPAD(SEQ_ACTORS_PK.NEXTVAL, 6, 0), '리차드 매든','배우사진');</t>
  </si>
  <si>
    <t>INSERT INTO ACTORS (ACTOR_ID, ACTOR_NAME, PROFILE_PIC) VALUES ('AC-' || TO_CHAR(SYSDATE, 'YYYYMMDD-') || LPAD(SEQ_ACTORS_PK.NEXTVAL, 6, 0), '클레어 듀버크','배우사진');</t>
  </si>
  <si>
    <t>INSERT INTO ACTORS (ACTOR_ID, ACTOR_NAME, PROFILE_PIC) VALUES ('AC-' || TO_CHAR(SYSDATE, 'YYYYMMDD-') || LPAD(SEQ_ACTORS_PK.NEXTVAL, 6, 0), '콜린 퍼스','배우사진');</t>
  </si>
  <si>
    <t>INSERT INTO ACTORS (ACTOR_ID, ACTOR_NAME, PROFILE_PIC) VALUES ('AC-' || TO_CHAR(SYSDATE, 'YYYYMMDD-') || LPAD(SEQ_ACTORS_PK.NEXTVAL, 6, 0), '베네딕트 컴버배치','배우사진');</t>
  </si>
  <si>
    <t>INSERT INTO ACTORS (ACTOR_ID, ACTOR_NAME, PROFILE_PIC) VALUES ('AC-' || TO_CHAR(SYSDATE, 'YYYYMMDD-') || LPAD(SEQ_ACTORS_PK.NEXTVAL, 6, 0), '다니엘 메이스','배우사진');</t>
  </si>
  <si>
    <t>INSERT INTO ACTORS (ACTOR_ID, ACTOR_NAME, PROFILE_PIC) VALUES ('AC-' || TO_CHAR(SYSDATE, 'YYYYMMDD-') || LPAD(SEQ_ACTORS_PK.NEXTVAL, 6, 0), '레오나르도 디카프리오','배우사진');</t>
  </si>
  <si>
    <t>INSERT INTO ACTORS (ACTOR_ID, ACTOR_NAME, PROFILE_PIC) VALUES ('AC-' || TO_CHAR(SYSDATE, 'YYYYMMDD-') || LPAD(SEQ_ACTORS_PK.NEXTVAL, 6, 0), '조셉 고든레빗','배우사진');</t>
  </si>
  <si>
    <t>INSERT INTO ACTORS (ACTOR_ID, ACTOR_NAME, PROFILE_PIC) VALUES ('AC-' || TO_CHAR(SYSDATE, 'YYYYMMDD-') || LPAD(SEQ_ACTORS_PK.NEXTVAL, 6, 0), '와타나베 켄','배우사진');</t>
  </si>
  <si>
    <t>INSERT INTO ACTORS (ACTOR_ID, ACTOR_NAME, PROFILE_PIC) VALUES ('AC-' || TO_CHAR(SYSDATE, 'YYYYMMDD-') || LPAD(SEQ_ACTORS_PK.NEXTVAL, 6, 0), '톰 하디','배우사진');</t>
  </si>
  <si>
    <t>INSERT INTO ACTORS (ACTOR_ID, ACTOR_NAME, PROFILE_PIC) VALUES ('AC-' || TO_CHAR(SYSDATE, 'YYYYMMDD-') || LPAD(SEQ_ACTORS_PK.NEXTVAL, 6, 0), '엘리엇 페이지','배우사진');</t>
  </si>
  <si>
    <t>INSERT INTO ACTORS (ACTOR_ID, ACTOR_NAME, PROFILE_PIC) VALUES ('AC-' || TO_CHAR(SYSDATE, 'YYYYMMDD-') || LPAD(SEQ_ACTORS_PK.NEXTVAL, 6, 0), '딜립 라오 ','배우사진');</t>
  </si>
  <si>
    <t>INSERT INTO ACTORS (ACTOR_ID, ACTOR_NAME, PROFILE_PIC) VALUES ('AC-' || TO_CHAR(SYSDATE, 'YYYYMMDD-') || LPAD(SEQ_ACTORS_PK.NEXTVAL, 6, 0), '킬리언 머피','배우사진');</t>
  </si>
  <si>
    <t>INSERT INTO ACTORS (ACTOR_ID, ACTOR_NAME, PROFILE_PIC) VALUES ('AC-' || TO_CHAR(SYSDATE, 'YYYYMMDD-') || LPAD(SEQ_ACTORS_PK.NEXTVAL, 6, 0), '톰 베렌저','배우사진');</t>
  </si>
  <si>
    <t>INSERT INTO ACTORS (ACTOR_ID, ACTOR_NAME, PROFILE_PIC) VALUES ('AC-' || TO_CHAR(SYSDATE, 'YYYYMMDD-') || LPAD(SEQ_ACTORS_PK.NEXTVAL, 6, 0), '마리옹 꼬띠아르','배우사진');</t>
  </si>
  <si>
    <t>INSERT INTO ACTORS (ACTOR_ID, ACTOR_NAME, PROFILE_PIC) VALUES ('AC-' || TO_CHAR(SYSDATE, 'YYYYMMDD-') || LPAD(SEQ_ACTORS_PK.NEXTVAL, 6, 0), '키아누 리브스','배우사진');</t>
  </si>
  <si>
    <t>INSERT INTO ACTORS (ACTOR_ID, ACTOR_NAME, PROFILE_PIC) VALUES ('AC-' || TO_CHAR(SYSDATE, 'YYYYMMDD-') || LPAD(SEQ_ACTORS_PK.NEXTVAL, 6, 0), '미카엘 니크비스트','배우사진');</t>
  </si>
  <si>
    <t>INSERT INTO ACTORS (ACTOR_ID, ACTOR_NAME, PROFILE_PIC) VALUES ('AC-' || TO_CHAR(SYSDATE, 'YYYYMMDD-') || LPAD(SEQ_ACTORS_PK.NEXTVAL, 6, 0), '알피 앨런','배우사진');</t>
  </si>
  <si>
    <t>INSERT INTO ACTORS (ACTOR_ID, ACTOR_NAME, PROFILE_PIC) VALUES ('AC-' || TO_CHAR(SYSDATE, 'YYYYMMDD-') || LPAD(SEQ_ACTORS_PK.NEXTVAL, 6, 0), '월렘 대포','배우사진');</t>
  </si>
  <si>
    <t>INSERT INTO ACTORS (ACTOR_ID, ACTOR_NAME, PROFILE_PIC) VALUES ('AC-' || TO_CHAR(SYSDATE, 'YYYYMMDD-') || LPAD(SEQ_ACTORS_PK.NEXTVAL, 6, 0), '딘 윈터스','배우사진');</t>
  </si>
  <si>
    <t>INSERT INTO ACTORS (ACTOR_ID, ACTOR_NAME, PROFILE_PIC) VALUES ('AC-' || TO_CHAR(SYSDATE, 'YYYYMMDD-') || LPAD(SEQ_ACTORS_PK.NEXTVAL, 6, 0), '에이드리언 팰리키','배우사진');</t>
  </si>
  <si>
    <t>INSERT INTO ACTORS (ACTOR_ID, ACTOR_NAME, PROFILE_PIC) VALUES ('AC-' || TO_CHAR(SYSDATE, 'YYYYMMDD-') || LPAD(SEQ_ACTORS_PK.NEXTVAL, 6, 0), 'Omer Barnea','배우사진');</t>
  </si>
  <si>
    <t>INSERT INTO ACTORS (ACTOR_ID, ACTOR_NAME, PROFILE_PIC) VALUES ('AC-' || TO_CHAR(SYSDATE, 'YYYYMMDD-') || LPAD(SEQ_ACTORS_PK.NEXTVAL, 6, 0), 'Toby Leonard Moore','배우사진');</t>
  </si>
  <si>
    <t>INSERT INTO ACTORS (ACTOR_ID, ACTOR_NAME, PROFILE_PIC) VALUES ('AC-' || TO_CHAR(SYSDATE, 'YYYYMMDD-') || LPAD(SEQ_ACTORS_PK.NEXTVAL, 6, 0), '다니엘 베른하르트','배우사진');</t>
  </si>
  <si>
    <t>INSERT INTO MAKE (MAKE_ID, PRODUCER_ID, MOVIE_ID, PRODUCER_ROLE, PRODUCER_PART) VALUES ('MK-' || TO_CHAR(SYSDATE, 'YYYYMMDD-') || LPAD(SEQ_MAKE_PK.NEXTVAL, 6, 0), 'PD-20260226-000001', 'MV-20260226-000001', 'Director', '연출');</t>
  </si>
  <si>
    <t>INSERT INTO MAKE (MAKE_ID, PRODUCER_ID, MOVIE_ID, PRODUCER_ROLE, PRODUCER_PART) VALUES ('MK-' || TO_CHAR(SYSDATE, 'YYYYMMDD-') || LPAD(SEQ_MAKE_PK.NEXTVAL, 6, 0), 'PD-20260226-000001', 'MV-20260226-000001', 'Screenplay', '각본');</t>
  </si>
  <si>
    <t>INSERT INTO MAKE (MAKE_ID, PRODUCER_ID, MOVIE_ID, PRODUCER_ROLE, PRODUCER_PART) VALUES ('MK-' || TO_CHAR(SYSDATE, 'YYYYMMDD-') || LPAD(SEQ_MAKE_PK.NEXTVAL, 6, 0), 'PD-20260226-000001', 'MV-20260226-000001', 'Story', '각본');</t>
  </si>
  <si>
    <t>INSERT INTO MAKE (MAKE_ID, PRODUCER_ID, MOVIE_ID, PRODUCER_ROLE, PRODUCER_PART) VALUES ('MK-' || TO_CHAR(SYSDATE, 'YYYYMMDD-') || LPAD(SEQ_MAKE_PK.NEXTVAL, 6, 0), 'PD-20260226-000001', 'MV-20260226-000003', 'Director', '');</t>
  </si>
  <si>
    <t>INSERT INTO MAKE (MAKE_ID, PRODUCER_ID, MOVIE_ID, PRODUCER_ROLE, PRODUCER_PART) VALUES ('MK-' || TO_CHAR(SYSDATE, 'YYYYMMDD-') || LPAD(SEQ_MAKE_PK.NEXTVAL, 6, 0), 'PD-20260226-000001', 'MV-20260226-000003', 'Writer', '');</t>
  </si>
  <si>
    <t>INSERT INTO MAKE (MAKE_ID, PRODUCER_ID, MOVIE_ID, PRODUCER_ROLE, PRODUCER_PART) VALUES ('MK-' || TO_CHAR(SYSDATE, 'YYYYMMDD-') || LPAD(SEQ_MAKE_PK.NEXTVAL, 6, 0), 'PD-20260226-000002', 'MV-20260226-000001', 'Director', '연출');</t>
  </si>
  <si>
    <t>INSERT INTO MAKE (MAKE_ID, PRODUCER_ID, MOVIE_ID, PRODUCER_ROLE, PRODUCER_PART) VALUES ('MK-' || TO_CHAR(SYSDATE, 'YYYYMMDD-') || LPAD(SEQ_MAKE_PK.NEXTVAL, 6, 0), 'PD-20260226-000002', 'MV-20260226-000001', 'Screenplay', '각본');</t>
  </si>
  <si>
    <t>INSERT INTO MAKE (MAKE_ID, PRODUCER_ID, MOVIE_ID, PRODUCER_ROLE, PRODUCER_PART) VALUES ('MK-' || TO_CHAR(SYSDATE, 'YYYYMMDD-') || LPAD(SEQ_MAKE_PK.NEXTVAL, 6, 0), 'PD-20260226-000002', 'MV-20260226-000003', 'Director', '');</t>
  </si>
  <si>
    <t>INSERT INTO MAKE (MAKE_ID, PRODUCER_ID, MOVIE_ID, PRODUCER_ROLE, PRODUCER_PART) VALUES ('MK-' || TO_CHAR(SYSDATE, 'YYYYMMDD-') || LPAD(SEQ_MAKE_PK.NEXTVAL, 6, 0), 'PD-20260226-000002', 'MV-20260226-000003', 'Writer', '');</t>
  </si>
  <si>
    <t>INSERT INTO MAKE (MAKE_ID, PRODUCER_ID, MOVIE_ID, PRODUCER_ROLE, PRODUCER_PART) VALUES ('MK-' || TO_CHAR(SYSDATE, 'YYYYMMDD-') || LPAD(SEQ_MAKE_PK.NEXTVAL, 6, 0), 'PD-20260226-000003', 'MV-20260226-000001', 'Screenplay', '각본');</t>
  </si>
  <si>
    <t>INSERT INTO MAKE (MAKE_ID, PRODUCER_ID, MOVIE_ID, PRODUCER_ROLE, PRODUCER_PART) VALUES ('MK-' || TO_CHAR(SYSDATE, 'YYYYMMDD-') || LPAD(SEQ_MAKE_PK.NEXTVAL, 6, 0), 'PD-20260226-000004', 'MV-20260226-000001', 'Screenplay', '각본');</t>
  </si>
  <si>
    <t>INSERT INTO MAKE (MAKE_ID, PRODUCER_ID, MOVIE_ID, PRODUCER_ROLE, PRODUCER_PART) VALUES ('MK-' || TO_CHAR(SYSDATE, 'YYYYMMDD-') || LPAD(SEQ_MAKE_PK.NEXTVAL, 6, 0), 'PD-20260226-000005', 'MV-20260226-000002', 'Screenplay', '각본');</t>
  </si>
  <si>
    <t>INSERT INTO MAKE (MAKE_ID, PRODUCER_ID, MOVIE_ID, PRODUCER_ROLE, PRODUCER_PART) VALUES ('MK-' || TO_CHAR(SYSDATE, 'YYYYMMDD-') || LPAD(SEQ_MAKE_PK.NEXTVAL, 6, 0), 'PD-20260226-000005', 'MV-20260226-000002', 'Story', '각본');</t>
  </si>
  <si>
    <t>INSERT INTO MAKE (MAKE_ID, PRODUCER_ID, MOVIE_ID, PRODUCER_ROLE, PRODUCER_PART) VALUES ('MK-' || TO_CHAR(SYSDATE, 'YYYYMMDD-') || LPAD(SEQ_MAKE_PK.NEXTVAL, 6, 0), 'PD-20260226-000006', 'MV-20260226-000002', 'Director', '연출');</t>
  </si>
  <si>
    <t>INSERT INTO MAKE (MAKE_ID, PRODUCER_ID, MOVIE_ID, PRODUCER_ROLE, PRODUCER_PART) VALUES ('MK-' || TO_CHAR(SYSDATE, 'YYYYMMDD-') || LPAD(SEQ_MAKE_PK.NEXTVAL, 6, 0), 'PD-20260226-000007', 'MV-20260226-000002', 'Screenplay', '각본');</t>
  </si>
  <si>
    <t>INSERT INTO MAKE (MAKE_ID, PRODUCER_ID, MOVIE_ID, PRODUCER_ROLE, PRODUCER_PART) VALUES ('MK-' || TO_CHAR(SYSDATE, 'YYYYMMDD-') || LPAD(SEQ_MAKE_PK.NEXTVAL, 6, 0), 'PD-20260226-000008', 'MV-20260226-000004', 'Director', '연출');</t>
  </si>
  <si>
    <t>INSERT INTO MAKE (MAKE_ID, PRODUCER_ID, MOVIE_ID, PRODUCER_ROLE, PRODUCER_PART) VALUES ('MK-' || TO_CHAR(SYSDATE, 'YYYYMMDD-') || LPAD(SEQ_MAKE_PK.NEXTVAL, 6, 0), 'PD-20260226-000009', 'MV-20260226-000004', 'Screenplay', '각본');</t>
  </si>
  <si>
    <t>INSERT INTO MAKE (MAKE_ID, PRODUCER_ID, MOVIE_ID, PRODUCER_ROLE, PRODUCER_PART) VALUES ('MK-' || TO_CHAR(SYSDATE, 'YYYYMMDD-') || LPAD(SEQ_MAKE_PK.NEXTVAL, 6, 0), 'PD-20260226-000010', 'MV-20260226-000005', 'Director', '연출');</t>
  </si>
  <si>
    <t>INSERT INTO MAKE (MAKE_ID, PRODUCER_ID, MOVIE_ID, PRODUCER_ROLE, PRODUCER_PART) VALUES ('MK-' || TO_CHAR(SYSDATE, 'YYYYMMDD-') || LPAD(SEQ_MAKE_PK.NEXTVAL, 6, 0), 'PD-20260226-000010', 'MV-20260226-000005', 'Screenplay', '각본');</t>
  </si>
  <si>
    <t>INSERT INTO MAKE (MAKE_ID, PRODUCER_ID, MOVIE_ID, PRODUCER_ROLE, PRODUCER_PART) VALUES ('MK-' || TO_CHAR(SYSDATE, 'YYYYMMDD-') || LPAD(SEQ_MAKE_PK.NEXTVAL, 6, 0), 'PD-20260226-000011', 'MV-20260226-000005', 'Screenplay', '각본');</t>
  </si>
  <si>
    <t>INSERT INTO MAKE (MAKE_ID, PRODUCER_ID, MOVIE_ID, PRODUCER_ROLE, PRODUCER_PART) VALUES ('MK-' || TO_CHAR(SYSDATE, 'YYYYMMDD-') || LPAD(SEQ_MAKE_PK.NEXTVAL, 6, 0), 'PD-20260226-000012', 'MV-20260226-000005', 'Screenplay', '각본');</t>
  </si>
  <si>
    <t>INSERT INTO MAKE (MAKE_ID, PRODUCER_ID, MOVIE_ID, PRODUCER_ROLE, PRODUCER_PART) VALUES ('MK-' || TO_CHAR(SYSDATE, 'YYYYMMDD-') || LPAD(SEQ_MAKE_PK.NEXTVAL, 6, 0), 'PD-20260226-000013', 'MV-20260226-000005', 'Screenplay', '각본');</t>
  </si>
  <si>
    <t>INSERT INTO MAKE (MAKE_ID, PRODUCER_ID, MOVIE_ID, PRODUCER_ROLE, PRODUCER_PART) VALUES ('MK-' || TO_CHAR(SYSDATE, 'YYYYMMDD-') || LPAD(SEQ_MAKE_PK.NEXTVAL, 6, 0), 'PD-20260226-000019', 'MV-20260226-000006', 'Director', '연출');</t>
  </si>
  <si>
    <t>INSERT INTO MAKE (MAKE_ID, PRODUCER_ID, MOVIE_ID, PRODUCER_ROLE, PRODUCER_PART) VALUES ('MK-' || TO_CHAR(SYSDATE, 'YYYYMMDD-') || LPAD(SEQ_MAKE_PK.NEXTVAL, 6, 0), 'PD-20260226-000019', 'MV-20260226-000006', 'Screenplay', '각본');</t>
  </si>
  <si>
    <t>INSERT INTO MAKE (MAKE_ID, PRODUCER_ID, MOVIE_ID, PRODUCER_ROLE, PRODUCER_PART) VALUES ('MK-' || TO_CHAR(SYSDATE, 'YYYYMMDD-') || LPAD(SEQ_MAKE_PK.NEXTVAL, 6, 0), 'PD-20260226-000020', 'MV-20260226-000007', 'Director', '연출');</t>
  </si>
  <si>
    <t>INSERT INTO MAKE (MAKE_ID, PRODUCER_ID, MOVIE_ID, PRODUCER_ROLE, PRODUCER_PART) VALUES ('MK-' || TO_CHAR(SYSDATE, 'YYYYMMDD-') || LPAD(SEQ_MAKE_PK.NEXTVAL, 6, 0), 'PD-20260226-000021', 'MV-20260226-000007', 'Screenplay', '각본');</t>
  </si>
  <si>
    <t>INSERT INTO MAKE (MAKE_ID, PRODUCER_ID, MOVIE_ID, PRODUCER_ROLE, PRODUCER_PART) VALUES ('MK-' || TO_CHAR(SYSDATE, 'YYYYMMDD-') || LPAD(SEQ_MAKE_PK.NEXTVAL, 6, 0), 'PD-20260226-000014', 'MV-20260226-000008', 'Director', '연출');</t>
  </si>
  <si>
    <t>INSERT INTO MAKE (MAKE_ID, PRODUCER_ID, MOVIE_ID, PRODUCER_ROLE, PRODUCER_PART) VALUES ('MK-' || TO_CHAR(SYSDATE, 'YYYYMMDD-') || LPAD(SEQ_MAKE_PK.NEXTVAL, 6, 0), 'PD-20260226-000014', 'MV-20260226-000008', 'Writer', '각본');</t>
  </si>
  <si>
    <t>INSERT INTO MAKE (MAKE_ID, PRODUCER_ID, MOVIE_ID, PRODUCER_ROLE, PRODUCER_PART) VALUES ('MK-' || TO_CHAR(SYSDATE, 'YYYYMMDD-') || LPAD(SEQ_MAKE_PK.NEXTVAL, 6, 0), 'PD-20260226-000015', 'MV-20260226-000008', 'Writer', '각본');</t>
  </si>
  <si>
    <t>INSERT INTO MAKE (MAKE_ID, PRODUCER_ID, MOVIE_ID, PRODUCER_ROLE, PRODUCER_PART) VALUES ('MK-' || TO_CHAR(SYSDATE, 'YYYYMMDD-') || LPAD(SEQ_MAKE_PK.NEXTVAL, 6, 0), 'PD-20260226-000016', 'MV-20260226-000009', 'Director', '연출');</t>
  </si>
  <si>
    <t>INSERT INTO MAKE (MAKE_ID, PRODUCER_ID, MOVIE_ID, PRODUCER_ROLE, PRODUCER_PART) VALUES ('MK-' || TO_CHAR(SYSDATE, 'YYYYMMDD-') || LPAD(SEQ_MAKE_PK.NEXTVAL, 6, 0), 'PD-20260226-000016', 'MV-20260226-000009', 'Writer', '각본');</t>
  </si>
  <si>
    <t>INSERT INTO MAKE (MAKE_ID, PRODUCER_ID, MOVIE_ID, PRODUCER_ROLE, PRODUCER_PART) VALUES ('MK-' || TO_CHAR(SYSDATE, 'YYYYMMDD-') || LPAD(SEQ_MAKE_PK.NEXTVAL, 6, 0), 'PD-20260226-000017', 'MV-20260226-000010', 'Director', '연출');</t>
  </si>
  <si>
    <t>INSERT INTO MAKE (MAKE_ID, PRODUCER_ID, MOVIE_ID, PRODUCER_ROLE, PRODUCER_PART) VALUES ('MK-' || TO_CHAR(SYSDATE, 'YYYYMMDD-') || LPAD(SEQ_MAKE_PK.NEXTVAL, 6, 0), 'PD-20260226-000018', 'MV-20260226-000010', 'Writer', '각본');</t>
  </si>
  <si>
    <t>INSERT INTO PRODUCERS (PRODUCER_ID, PRODUCER_NAME) VALUES ('PD-' || TO_CHAR(SYSDATE, 'YYYYMMDD-') || LPAD(SEQ_PRODUCERS_PK.NEXTVAL, 6, 0), '매기 강');</t>
  </si>
  <si>
    <t>INSERT INTO PRODUCERS (PRODUCER_ID, PRODUCER_NAME) VALUES ('PD-' || TO_CHAR(SYSDATE, 'YYYYMMDD-') || LPAD(SEQ_PRODUCERS_PK.NEXTVAL, 6, 0), '크리스아펠한스');</t>
  </si>
  <si>
    <t>INSERT INTO PRODUCERS (PRODUCER_ID, PRODUCER_NAME) VALUES ('PD-' || TO_CHAR(SYSDATE, 'YYYYMMDD-') || LPAD(SEQ_PRODUCERS_PK.NEXTVAL, 6, 0), '다나 히메네스');</t>
  </si>
  <si>
    <t>INSERT INTO PRODUCERS (PRODUCER_ID, PRODUCER_NAME) VALUES ('PD-' || TO_CHAR(SYSDATE, 'YYYYMMDD-') || LPAD(SEQ_PRODUCERS_PK.NEXTVAL, 6, 0), '해나 맥메찬');</t>
  </si>
  <si>
    <t>INSERT INTO PRODUCERS (PRODUCER_ID, PRODUCER_NAME) VALUES ('PD-' || TO_CHAR(SYSDATE, 'YYYYMMDD-') || LPAD(SEQ_PRODUCERS_PK.NEXTVAL, 6, 0), 'Marc Behm');</t>
  </si>
  <si>
    <t>INSERT INTO PRODUCERS (PRODUCER_ID, PRODUCER_NAME) VALUES ('PD-' || TO_CHAR(SYSDATE, 'YYYYMMDD-') || LPAD(SEQ_PRODUCERS_PK.NEXTVAL, 6, 0), 'Richard Lester');</t>
  </si>
  <si>
    <t>INSERT INTO PRODUCERS (PRODUCER_ID, PRODUCER_NAME) VALUES ('PD-' || TO_CHAR(SYSDATE, 'YYYYMMDD-') || LPAD(SEQ_PRODUCERS_PK.NEXTVAL, 6, 0), 'Charles Wood');</t>
  </si>
  <si>
    <t>INSERT INTO PRODUCERS (PRODUCER_ID, PRODUCER_NAME) VALUES ('PD-' || TO_CHAR(SYSDATE, 'YYYYMMDD-') || LPAD(SEQ_PRODUCERS_PK.NEXTVAL, 6, 0), '요시하라 타츠야');</t>
  </si>
  <si>
    <t>INSERT INTO PRODUCERS (PRODUCER_ID, PRODUCER_NAME) VALUES ('PD-' || TO_CHAR(SYSDATE, 'YYYYMMDD-') || LPAD(SEQ_PRODUCERS_PK.NEXTVAL, 6, 0), '세코 히로시');</t>
  </si>
  <si>
    <t>INSERT INTO PRODUCERS (PRODUCER_ID, PRODUCER_NAME) VALUES ('PD-' || TO_CHAR(SYSDATE, 'YYYYMMDD-') || LPAD(SEQ_PRODUCERS_PK.NEXTVAL, 6, 0), 'John De Bello');</t>
  </si>
  <si>
    <t>INSERT INTO PRODUCERS (PRODUCER_ID, PRODUCER_NAME) VALUES ('PD-' || TO_CHAR(SYSDATE, 'YYYYMMDD-') || LPAD(SEQ_PRODUCERS_PK.NEXTVAL, 6, 0), 'Costa Dillon');</t>
  </si>
  <si>
    <t>INSERT INTO PRODUCERS (PRODUCER_ID, PRODUCER_NAME) VALUES ('PD-' || TO_CHAR(SYSDATE, 'YYYYMMDD-') || LPAD(SEQ_PRODUCERS_PK.NEXTVAL, 6, 0), 'Rick Rockwell');</t>
  </si>
  <si>
    <t>INSERT INTO PRODUCERS (PRODUCER_ID, PRODUCER_NAME) VALUES ('PD-' || TO_CHAR(SYSDATE, 'YYYYMMDD-') || LPAD(SEQ_PRODUCERS_PK.NEXTVAL, 6, 0), 'J. Stephen Peace');</t>
  </si>
  <si>
    <t>INSERT INTO PRODUCERS (PRODUCER_ID, PRODUCER_NAME) VALUES ('PD-' || TO_CHAR(SYSDATE, 'YYYYMMDD-') || LPAD(SEQ_PRODUCERS_PK.NEXTVAL, 6, 0), '샘 멘데스');</t>
  </si>
  <si>
    <t>INSERT INTO PRODUCERS (PRODUCER_ID, PRODUCER_NAME) VALUES ('PD-' || TO_CHAR(SYSDATE, 'YYYYMMDD-') || LPAD(SEQ_PRODUCERS_PK.NEXTVAL, 6, 0), 'Krysty Wilson-Cairns');</t>
  </si>
  <si>
    <t>INSERT INTO PRODUCERS (PRODUCER_ID, PRODUCER_NAME) VALUES ('PD-' || TO_CHAR(SYSDATE, 'YYYYMMDD-') || LPAD(SEQ_PRODUCERS_PK.NEXTVAL, 6, 0), '크리스토퍼 놀란');</t>
  </si>
  <si>
    <t>INSERT INTO PRODUCERS (PRODUCER_ID, PRODUCER_NAME) VALUES ('PD-' || TO_CHAR(SYSDATE, 'YYYYMMDD-') || LPAD(SEQ_PRODUCERS_PK.NEXTVAL, 6, 0), '채드 스타헬스키');</t>
  </si>
  <si>
    <t>INSERT INTO PRODUCERS (PRODUCER_ID, PRODUCER_NAME) VALUES ('PD-' || TO_CHAR(SYSDATE, 'YYYYMMDD-') || LPAD(SEQ_PRODUCERS_PK.NEXTVAL, 6, 0), 'Derek Kolstad');</t>
  </si>
  <si>
    <t>INSERT INTO PRODUCERS (PRODUCER_ID, PRODUCER_NAME) VALUES ('PD-' || TO_CHAR(SYSDATE, 'YYYYMMDD-') || LPAD(SEQ_PRODUCERS_PK.NEXTVAL, 6, 0), '쿠엔틴 타란티노');</t>
  </si>
  <si>
    <t>INSERT INTO PRODUCERS (PRODUCER_ID, PRODUCER_NAME) VALUES ('PD-' || TO_CHAR(SYSDATE, 'YYYYMMDD-') || LPAD(SEQ_PRODUCERS_PK.NEXTVAL, 6, 0), '샘 하그레이브');</t>
  </si>
  <si>
    <t>INSERT INTO PRODUCERS (PRODUCER_ID, PRODUCER_NAME) VALUES ('PD-' || TO_CHAR(SYSDATE, 'YYYYMMDD-') || LPAD(SEQ_PRODUCERS_PK.NEXTVAL, 6, 0), '조 루소');</t>
  </si>
  <si>
    <t>INSERT INTO FILMOGRAPHY (FILMOGRAPHY_ID, MOVIE_ID, ACTOR_ID, ACTOR_ROLE) VALUES ('FL-' || TO_CHAR(SYSDATE, 'YYYYMMDD-') || LPAD(SEQ_FILMOGRAPHY_PK.NEXTVAL, 6, 0), 'MV-20260226-000001', 'AC-20260226-000001', 'Rumi (voice)');</t>
  </si>
  <si>
    <t>INSERT INTO FILMOGRAPHY (FILMOGRAPHY_ID, MOVIE_ID, ACTOR_ID, ACTOR_ROLE) VALUES ('FL-' || TO_CHAR(SYSDATE, 'YYYYMMDD-') || LPAD(SEQ_FILMOGRAPHY_PK.NEXTVAL, 6, 0), 'MV-20260226-000001', 'AC-20260226-000002', 'Mira (voice)');</t>
  </si>
  <si>
    <t>INSERT INTO FILMOGRAPHY (FILMOGRAPHY_ID, MOVIE_ID, ACTOR_ID, ACTOR_ROLE) VALUES ('FL-' || TO_CHAR(SYSDATE, 'YYYYMMDD-') || LPAD(SEQ_FILMOGRAPHY_PK.NEXTVAL, 6, 0), 'MV-20260226-000001', 'AC-20260226-000003', 'Zoey (voice)');</t>
  </si>
  <si>
    <t>INSERT INTO FILMOGRAPHY (FILMOGRAPHY_ID, MOVIE_ID, ACTOR_ID, ACTOR_ROLE) VALUES ('FL-' || TO_CHAR(SYSDATE, 'YYYYMMDD-') || LPAD(SEQ_FILMOGRAPHY_PK.NEXTVAL, 6, 0), 'MV-20260226-000001', 'AC-20260226-000004', 'Jinu (voice)');</t>
  </si>
  <si>
    <t>INSERT INTO FILMOGRAPHY (FILMOGRAPHY_ID, MOVIE_ID, ACTOR_ID, ACTOR_ROLE) VALUES ('FL-' || TO_CHAR(SYSDATE, 'YYYYMMDD-') || LPAD(SEQ_FILMOGRAPHY_PK.NEXTVAL, 6, 0), 'MV-20260226-000001', 'AC-20260226-000005', 'Celine (voice)');</t>
  </si>
  <si>
    <t>INSERT INTO FILMOGRAPHY (FILMOGRAPHY_ID, MOVIE_ID, ACTOR_ID, ACTOR_ROLE) VALUES ('FL-' || TO_CHAR(SYSDATE, 'YYYYMMDD-') || LPAD(SEQ_FILMOGRAPHY_PK.NEXTVAL, 6, 0), 'MV-20260226-000001', 'AC-20260226-000006', 'Bobby (voice)');</t>
  </si>
  <si>
    <t>INSERT INTO FILMOGRAPHY (FILMOGRAPHY_ID, MOVIE_ID, ACTOR_ID, ACTOR_ROLE) VALUES ('FL-' || TO_CHAR(SYSDATE, 'YYYYMMDD-') || LPAD(SEQ_FILMOGRAPHY_PK.NEXTVAL, 6, 0), 'MV-20260226-000001', 'AC-20260226-000007', 'Gwi-Ma (voice)');</t>
  </si>
  <si>
    <t>INSERT INTO FILMOGRAPHY (FILMOGRAPHY_ID, MOVIE_ID, ACTOR_ID, ACTOR_ROLE) VALUES ('FL-' || TO_CHAR(SYSDATE, 'YYYYMMDD-') || LPAD(SEQ_FILMOGRAPHY_PK.NEXTVAL, 6, 0), 'MV-20260226-000001', 'AC-20260226-000008', 'Healer Han (voice)');</t>
  </si>
  <si>
    <t>INSERT INTO FILMOGRAPHY (FILMOGRAPHY_ID, MOVIE_ID, ACTOR_ID, ACTOR_ROLE) VALUES ('FL-' || TO_CHAR(SYSDATE, 'YYYYMMDD-') || LPAD(SEQ_FILMOGRAPHY_PK.NEXTVAL, 6, 0), 'MV-20260226-000001', 'AC-20260226-000008', 'Additional Voices (voice)');</t>
  </si>
  <si>
    <t>INSERT INTO FILMOGRAPHY (FILMOGRAPHY_ID, MOVIE_ID, ACTOR_ID, ACTOR_ROLE) VALUES ('FL-' || TO_CHAR(SYSDATE, 'YYYYMMDD-') || LPAD(SEQ_FILMOGRAPHY_PK.NEXTVAL, 6, 0), 'MV-20260226-000001', 'AC-20260226-000008', 'Variety Show Host 1 (voice)');</t>
  </si>
  <si>
    <t>INSERT INTO FILMOGRAPHY (FILMOGRAPHY_ID, MOVIE_ID, ACTOR_ID, ACTOR_ROLE) VALUES ('FL-' || TO_CHAR(SYSDATE, 'YYYYMMDD-') || LPAD(SEQ_FILMOGRAPHY_PK.NEXTVAL, 6, 0), 'MV-20260226-000001', 'AC-20260226-000009', 'Idol Host (voice)');</t>
  </si>
  <si>
    <t>INSERT INTO FILMOGRAPHY (FILMOGRAPHY_ID, MOVIE_ID, ACTOR_ID, ACTOR_ROLE) VALUES ('FL-' || TO_CHAR(SYSDATE, 'YYYYMMDD-') || LPAD(SEQ_FILMOGRAPHY_PK.NEXTVAL, 6, 0), 'MV-20260226-000001', 'AC-20260226-000009', 'Romance Saja (voice)');</t>
  </si>
  <si>
    <t>INSERT INTO FILMOGRAPHY (FILMOGRAPHY_ID, MOVIE_ID, ACTOR_ID, ACTOR_ROLE) VALUES ('FL-' || TO_CHAR(SYSDATE, 'YYYYMMDD-') || LPAD(SEQ_FILMOGRAPHY_PK.NEXTVAL, 6, 0), 'MV-20260226-000002', 'AC-20260226-000010', 'George');</t>
  </si>
  <si>
    <t>INSERT INTO FILMOGRAPHY (FILMOGRAPHY_ID, MOVIE_ID, ACTOR_ID, ACTOR_ROLE) VALUES ('FL-' || TO_CHAR(SYSDATE, 'YYYYMMDD-') || LPAD(SEQ_FILMOGRAPHY_PK.NEXTVAL, 6, 0), 'MV-20260226-000002', 'AC-20260226-000011', 'John');</t>
  </si>
  <si>
    <t>INSERT INTO FILMOGRAPHY (FILMOGRAPHY_ID, MOVIE_ID, ACTOR_ID, ACTOR_ROLE) VALUES ('FL-' || TO_CHAR(SYSDATE, 'YYYYMMDD-') || LPAD(SEQ_FILMOGRAPHY_PK.NEXTVAL, 6, 0), 'MV-20260226-000002', 'AC-20260226-000012', 'Paul');</t>
  </si>
  <si>
    <t>INSERT INTO FILMOGRAPHY (FILMOGRAPHY_ID, MOVIE_ID, ACTOR_ID, ACTOR_ROLE) VALUES ('FL-' || TO_CHAR(SYSDATE, 'YYYYMMDD-') || LPAD(SEQ_FILMOGRAPHY_PK.NEXTVAL, 6, 0), 'MV-20260226-000002', 'AC-20260226-000013', 'Ringo');</t>
  </si>
  <si>
    <t>INSERT INTO FILMOGRAPHY (FILMOGRAPHY_ID, MOVIE_ID, ACTOR_ID, ACTOR_ROLE) VALUES ('FL-' || TO_CHAR(SYSDATE, 'YYYYMMDD-') || LPAD(SEQ_FILMOGRAPHY_PK.NEXTVAL, 6, 0), 'MV-20260226-000002', 'AC-20260226-000014', 'Clang');</t>
  </si>
  <si>
    <t>INSERT INTO FILMOGRAPHY (FILMOGRAPHY_ID, MOVIE_ID, ACTOR_ID, ACTOR_ROLE) VALUES ('FL-' || TO_CHAR(SYSDATE, 'YYYYMMDD-') || LPAD(SEQ_FILMOGRAPHY_PK.NEXTVAL, 6, 0), 'MV-20260226-000002', 'AC-20260226-000015', 'Ahme');</t>
  </si>
  <si>
    <t>INSERT INTO FILMOGRAPHY (FILMOGRAPHY_ID, MOVIE_ID, ACTOR_ID, ACTOR_ROLE) VALUES ('FL-' || TO_CHAR(SYSDATE, 'YYYYMMDD-') || LPAD(SEQ_FILMOGRAPHY_PK.NEXTVAL, 6, 0), 'MV-20260226-000002', 'AC-20260226-000016', 'Prof.Foot');</t>
  </si>
  <si>
    <t>INSERT INTO FILMOGRAPHY (FILMOGRAPHY_ID, MOVIE_ID, ACTOR_ID, ACTOR_ROLE) VALUES ('FL-' || TO_CHAR(SYSDATE, 'YYYYMMDD-') || LPAD(SEQ_FILMOGRAPHY_PK.NEXTVAL, 6, 0), 'MV-20260226-000002', 'AC-20260226-000017', 'Algernon');</t>
  </si>
  <si>
    <t>INSERT INTO FILMOGRAPHY (FILMOGRAPHY_ID, MOVIE_ID, ACTOR_ID, ACTOR_ROLE) VALUES ('FL-' || TO_CHAR(SYSDATE, 'YYYYMMDD-') || LPAD(SEQ_FILMOGRAPHY_PK.NEXTVAL, 6, 0), 'MV-20260226-000002', 'AC-20260226-000018', 'Bhuta');</t>
  </si>
  <si>
    <t>INSERT INTO FILMOGRAPHY (FILMOGRAPHY_ID, MOVIE_ID, ACTOR_ID, ACTOR_ROLE) VALUES ('FL-' || TO_CHAR(SYSDATE, 'YYYYMMDD-') || LPAD(SEQ_FILMOGRAPHY_PK.NEXTVAL, 6, 0), 'MV-20260226-000004', 'AC-20260226-000019', 'Denji (voice)');</t>
  </si>
  <si>
    <t>INSERT INTO FILMOGRAPHY (FILMOGRAPHY_ID, MOVIE_ID, ACTOR_ID, ACTOR_ROLE) VALUES ('FL-' || TO_CHAR(SYSDATE, 'YYYYMMDD-') || LPAD(SEQ_FILMOGRAPHY_PK.NEXTVAL, 6, 0), 'MV-20260226-000004', 'AC-20260226-000020', 'Reze (voice)');</t>
  </si>
  <si>
    <t>INSERT INTO FILMOGRAPHY (FILMOGRAPHY_ID, MOVIE_ID, ACTOR_ID, ACTOR_ROLE) VALUES ('FL-' || TO_CHAR(SYSDATE, 'YYYYMMDD-') || LPAD(SEQ_FILMOGRAPHY_PK.NEXTVAL, 6, 0), 'MV-20260226-000004', 'AC-20260226-000021', 'Makima (voice)');</t>
  </si>
  <si>
    <t>INSERT INTO FILMOGRAPHY (FILMOGRAPHY_ID, MOVIE_ID, ACTOR_ID, ACTOR_ROLE) VALUES ('FL-' || TO_CHAR(SYSDATE, 'YYYYMMDD-') || LPAD(SEQ_FILMOGRAPHY_PK.NEXTVAL, 6, 0), 'MV-20260226-000004', 'AC-20260226-000022', 'Aki (voice)');</t>
  </si>
  <si>
    <t>INSERT INTO FILMOGRAPHY (FILMOGRAPHY_ID, MOVIE_ID, ACTOR_ID, ACTOR_ROLE) VALUES ('FL-' || TO_CHAR(SYSDATE, 'YYYYMMDD-') || LPAD(SEQ_FILMOGRAPHY_PK.NEXTVAL, 6, 0), 'MV-20260226-000004', 'AC-20260226-000023', 'Angel Devil (voice)');</t>
  </si>
  <si>
    <t>INSERT INTO FILMOGRAPHY (FILMOGRAPHY_ID, MOVIE_ID, ACTOR_ID, ACTOR_ROLE) VALUES ('FL-' || TO_CHAR(SYSDATE, 'YYYYMMDD-') || LPAD(SEQ_FILMOGRAPHY_PK.NEXTVAL, 6, 0), 'MV-20260226-000004', 'AC-20260226-000024', 'Beam (voice)');</t>
  </si>
  <si>
    <t>INSERT INTO FILMOGRAPHY (FILMOGRAPHY_ID, MOVIE_ID, ACTOR_ID, ACTOR_ROLE) VALUES ('FL-' || TO_CHAR(SYSDATE, 'YYYYMMDD-') || LPAD(SEQ_FILMOGRAPHY_PK.NEXTVAL, 6, 0), 'MV-20260226-000004', 'AC-20260226-000025', 'Kobeni (voice)');</t>
  </si>
  <si>
    <t>INSERT INTO FILMOGRAPHY (FILMOGRAPHY_ID, MOVIE_ID, ACTOR_ID, ACTOR_ROLE) VALUES ('FL-' || TO_CHAR(SYSDATE, 'YYYYMMDD-') || LPAD(SEQ_FILMOGRAPHY_PK.NEXTVAL, 6, 0), 'MV-20260226-000004', 'AC-20260226-000026', 'Power (voice)');</t>
  </si>
  <si>
    <t>INSERT INTO FILMOGRAPHY (FILMOGRAPHY_ID, MOVIE_ID, ACTOR_ID, ACTOR_ROLE) VALUES ('FL-' || TO_CHAR(SYSDATE, 'YYYYMMDD-') || LPAD(SEQ_FILMOGRAPHY_PK.NEXTVAL, 6, 0), 'MV-20260226-000004', 'AC-20260226-000027', 'The Violence Fiend (voice)');</t>
  </si>
  <si>
    <t>INSERT INTO FILMOGRAPHY (FILMOGRAPHY_ID, MOVIE_ID, ACTOR_ID, ACTOR_ROLE) VALUES ('FL-' || TO_CHAR(SYSDATE, 'YYYYMMDD-') || LPAD(SEQ_FILMOGRAPHY_PK.NEXTVAL, 6, 0), 'MV-20260226-000005', 'AC-20260226-000028', 'Mason Dixon');</t>
  </si>
  <si>
    <t>INSERT INTO FILMOGRAPHY (FILMOGRAPHY_ID, MOVIE_ID, ACTOR_ID, ACTOR_ROLE) VALUES ('FL-' || TO_CHAR(SYSDATE, 'YYYYMMDD-') || LPAD(SEQ_FILMOGRAPHY_PK.NEXTVAL, 6, 0), 'MV-20260226-000005', 'AC-20260226-000029', 'Jim Richardson');</t>
  </si>
  <si>
    <t>INSERT INTO FILMOGRAPHY (FILMOGRAPHY_ID, MOVIE_ID, ACTOR_ID, ACTOR_ROLE) VALUES ('FL-' || TO_CHAR(SYSDATE, 'YYYYMMDD-') || LPAD(SEQ_FILMOGRAPHY_PK.NEXTVAL, 6, 0), 'MV-20260226-000005', 'AC-20260226-000030', 'Lois Fairchild');</t>
  </si>
  <si>
    <t>INSERT INTO FILMOGRAPHY (FILMOGRAPHY_ID, MOVIE_ID, ACTOR_ID, ACTOR_ROLE) VALUES ('FL-' || TO_CHAR(SYSDATE, 'YYYYMMDD-') || LPAD(SEQ_FILMOGRAPHY_PK.NEXTVAL, 6, 0), 'MV-20260226-000005', 'AC-20260226-000031', 'Wilbur Finletter');</t>
  </si>
  <si>
    <t>INSERT INTO FILMOGRAPHY (FILMOGRAPHY_ID, MOVIE_ID, ACTOR_ID, ACTOR_ROLE) VALUES ('FL-' || TO_CHAR(SYSDATE, 'YYYYMMDD-') || LPAD(SEQ_FILMOGRAPHY_PK.NEXTVAL, 6, 0), 'MV-20260226-000005', 'AC-20260226-000032', 'The President');</t>
  </si>
  <si>
    <t>INSERT INTO FILMOGRAPHY (FILMOGRAPHY_ID, MOVIE_ID, ACTOR_ID, ACTOR_ROLE) VALUES ('FL-' || TO_CHAR(SYSDATE, 'YYYYMMDD-') || LPAD(SEQ_FILMOGRAPHY_PK.NEXTVAL, 6, 0), 'MV-20260226-000005', 'AC-20260226-000033', 'Senator Polk');</t>
  </si>
  <si>
    <t>INSERT INTO FILMOGRAPHY (FILMOGRAPHY_ID, MOVIE_ID, ACTOR_ID, ACTOR_ROLE) VALUES ('FL-' || TO_CHAR(SYSDATE, 'YYYYMMDD-') || LPAD(SEQ_FILMOGRAPHY_PK.NEXTVAL, 6, 0), 'MV-20260226-000005', 'AC-20260226-000034', 'Salesman');</t>
  </si>
  <si>
    <t>INSERT INTO FILMOGRAPHY (FILMOGRAPHY_ID, MOVIE_ID, ACTOR_ID, ACTOR_ROLE) VALUES ('FL-' || TO_CHAR(SYSDATE, 'YYYYMMDD-') || LPAD(SEQ_FILMOGRAPHY_PK.NEXTVAL, 6, 0), 'MV-20260226-000005', 'AC-20260226-000035', 'Guard at Gate');</t>
  </si>
  <si>
    <t>INSERT INTO FILMOGRAPHY (FILMOGRAPHY_ID, MOVIE_ID, ACTOR_ID, ACTOR_ROLE) VALUES ('FL-' || TO_CHAR(SYSDATE, 'YYYYMMDD-') || LPAD(SEQ_FILMOGRAPHY_PK.NEXTVAL, 6, 0), 'MV-20260226-000005', 'AC-20260226-000036', 'Janitor');</t>
  </si>
  <si>
    <t>INSERT INTO FILMOGRAPHY (FILMOGRAPHY_ID, MOVIE_ID, ACTOR_ID, ACTOR_ROLE) VALUES ('FL-' || TO_CHAR(SYSDATE, 'YYYYMMDD-') || LPAD(SEQ_FILMOGRAPHY_PK.NEXTVAL, 6, 0), 'MV-20260226-000005', 'AC-20260226-000036', 'Charles White');</t>
  </si>
  <si>
    <t>INSERT INTO FILMOGRAPHY (FILMOGRAPHY_ID, MOVIE_ID, ACTOR_ID, ACTOR_ROLE) VALUES ('FL-' || TO_CHAR(SYSDATE, 'YYYYMMDD-') || LPAD(SEQ_FILMOGRAPHY_PK.NEXTVAL, 6, 0), 'MV-20260226-000006', 'AC-20260226-000037', 'LT.Aldo Raine');</t>
  </si>
  <si>
    <t>INSERT INTO FILMOGRAPHY (FILMOGRAPHY_ID, MOVIE_ID, ACTOR_ID, ACTOR_ROLE) VALUES ('FL-' || TO_CHAR(SYSDATE, 'YYYYMMDD-') || LPAD(SEQ_FILMOGRAPHY_PK.NEXTVAL, 6, 0), 'MV-20260226-000006', 'AC-20260226-000038', 'Shosanna');</t>
  </si>
  <si>
    <t>INSERT INTO FILMOGRAPHY (FILMOGRAPHY_ID, MOVIE_ID, ACTOR_ID, ACTOR_ROLE) VALUES ('FL-' || TO_CHAR(SYSDATE, 'YYYYMMDD-') || LPAD(SEQ_FILMOGRAPHY_PK.NEXTVAL, 6, 0), 'MV-20260226-000006', 'AC-20260226-000039', 'COL. Hans Landa');</t>
  </si>
  <si>
    <t>INSERT INTO FILMOGRAPHY (FILMOGRAPHY_ID, MOVIE_ID, ACTOR_ID, ACTOR_ROLE) VALUES ('FL-' || TO_CHAR(SYSDATE, 'YYYYMMDD-') || LPAD(SEQ_FILMOGRAPHY_PK.NEXTVAL, 6, 0), 'MV-20260226-000006', 'AC-20260226-000040', 'SGT.Donny Donowitz');</t>
  </si>
  <si>
    <t>INSERT INTO FILMOGRAPHY (FILMOGRAPHY_ID, MOVIE_ID, ACTOR_ID, ACTOR_ROLE) VALUES ('FL-' || TO_CHAR(SYSDATE, 'YYYYMMDD-') || LPAD(SEQ_FILMOGRAPHY_PK.NEXTVAL, 6, 0), 'MV-20260226-000006', 'AC-20260226-000041', 'LT.Archie Hicox');</t>
  </si>
  <si>
    <t>INSERT INTO FILMOGRAPHY (FILMOGRAPHY_ID, MOVIE_ID, ACTOR_ID, ACTOR_ROLE) VALUES ('FL-' || TO_CHAR(SYSDATE, 'YYYYMMDD-') || LPAD(SEQ_FILMOGRAPHY_PK.NEXTVAL, 6, 0), 'MV-20260226-000006', 'AC-20260226-000042', 'Bridget von Hammersmark');</t>
  </si>
  <si>
    <t>INSERT INTO FILMOGRAPHY (FILMOGRAPHY_ID, MOVIE_ID, ACTOR_ID, ACTOR_ROLE) VALUES ('FL-' || TO_CHAR(SYSDATE, 'YYYYMMDD-') || LPAD(SEQ_FILMOGRAPHY_PK.NEXTVAL, 6, 0), 'MV-20260226-000006', 'AC-20260226-000043', 'Fredrick Zoller');</t>
  </si>
  <si>
    <t>INSERT INTO FILMOGRAPHY (FILMOGRAPHY_ID, MOVIE_ID, ACTOR_ID, ACTOR_ROLE) VALUES ('FL-' || TO_CHAR(SYSDATE, 'YYYYMMDD-') || LPAD(SEQ_FILMOGRAPHY_PK.NEXTVAL, 6, 0), 'MV-20260226-000006', 'AC-20260226-000044', 'SGT. Hugo Stiglitz');</t>
  </si>
  <si>
    <t>INSERT INTO FILMOGRAPHY (FILMOGRAPHY_ID, MOVIE_ID, ACTOR_ID, ACTOR_ROLE) VALUES ('FL-' || TO_CHAR(SYSDATE, 'YYYYMMDD-') || LPAD(SEQ_FILMOGRAPHY_PK.NEXTVAL, 6, 0), 'MV-20260226-000006', 'AC-20260226-000045', 'CPL. Wilhelm Wicki');</t>
  </si>
  <si>
    <t>INSERT INTO FILMOGRAPHY (FILMOGRAPHY_ID, MOVIE_ID, ACTOR_ID, ACTOR_ROLE) VALUES ('FL-' || TO_CHAR(SYSDATE, 'YYYYMMDD-') || LPAD(SEQ_FILMOGRAPHY_PK.NEXTVAL, 6, 0), 'MV-20260226-000007', 'AC-20260226-000046', 'Tyler Rake');</t>
  </si>
  <si>
    <t>INSERT INTO FILMOGRAPHY (FILMOGRAPHY_ID, MOVIE_ID, ACTOR_ID, ACTOR_ROLE) VALUES ('FL-' || TO_CHAR(SYSDATE, 'YYYYMMDD-') || LPAD(SEQ_FILMOGRAPHY_PK.NEXTVAL, 6, 0), 'MV-20260226-000007', 'AC-20260226-000047', 'Ovi Mahajan');</t>
  </si>
  <si>
    <t>INSERT INTO FILMOGRAPHY (FILMOGRAPHY_ID, MOVIE_ID, ACTOR_ID, ACTOR_ROLE) VALUES ('FL-' || TO_CHAR(SYSDATE, 'YYYYMMDD-') || LPAD(SEQ_FILMOGRAPHY_PK.NEXTVAL, 6, 0), 'MV-20260226-000007', 'AC-20260226-000048', 'Saju');</t>
  </si>
  <si>
    <t>INSERT INTO FILMOGRAPHY (FILMOGRAPHY_ID, MOVIE_ID, ACTOR_ID, ACTOR_ROLE) VALUES ('FL-' || TO_CHAR(SYSDATE, 'YYYYMMDD-') || LPAD(SEQ_FILMOGRAPHY_PK.NEXTVAL, 6, 0), 'MV-20260226-000007', 'AC-20260226-000049', 'Nik Khan');</t>
  </si>
  <si>
    <t>INSERT INTO FILMOGRAPHY (FILMOGRAPHY_ID, MOVIE_ID, ACTOR_ID, ACTOR_ROLE) VALUES ('FL-' || TO_CHAR(SYSDATE, 'YYYYMMDD-') || LPAD(SEQ_FILMOGRAPHY_PK.NEXTVAL, 6, 0), 'MV-20260226-000007', 'AC-20260226-000050', 'Ovi Mahajan Sr.');</t>
  </si>
  <si>
    <t>INSERT INTO FILMOGRAPHY (FILMOGRAPHY_ID, MOVIE_ID, ACTOR_ID, ACTOR_ROLE) VALUES ('FL-' || TO_CHAR(SYSDATE, 'YYYYMMDD-') || LPAD(SEQ_FILMOGRAPHY_PK.NEXTVAL, 6, 0), 'MV-20260226-000007', 'AC-20260226-000051', 'Gaspar');</t>
  </si>
  <si>
    <t>INSERT INTO FILMOGRAPHY (FILMOGRAPHY_ID, MOVIE_ID, ACTOR_ID, ACTOR_ROLE) VALUES ('FL-' || TO_CHAR(SYSDATE, 'YYYYMMDD-') || LPAD(SEQ_FILMOGRAPHY_PK.NEXTVAL, 6, 0), 'MV-20260226-000007', 'AC-20260226-000052', 'Rake's Son');</t>
  </si>
  <si>
    <t>INSERT INTO FILMOGRAPHY (FILMOGRAPHY_ID, MOVIE_ID, ACTOR_ID, ACTOR_ROLE) VALUES ('FL-' || TO_CHAR(SYSDATE, 'YYYYMMDD-') || LPAD(SEQ_FILMOGRAPHY_PK.NEXTVAL, 6, 0), 'MV-20260226-000007', 'AC-20260226-000053', 'Rake's Son');</t>
  </si>
  <si>
    <t>INSERT INTO FILMOGRAPHY (FILMOGRAPHY_ID, MOVIE_ID, ACTOR_ID, ACTOR_ROLE) VALUES ('FL-' || TO_CHAR(SYSDATE, 'YYYYMMDD-') || LPAD(SEQ_FILMOGRAPHY_PK.NEXTVAL, 6, 0), 'MV-20260226-000007', 'AC-20260226-000054', 'Sachin');</t>
  </si>
  <si>
    <t>INSERT INTO FILMOGRAPHY (FILMOGRAPHY_ID, MOVIE_ID, ACTOR_ID, ACTOR_ROLE) VALUES ('FL-' || TO_CHAR(SYSDATE, 'YYYYMMDD-') || LPAD(SEQ_FILMOGRAPHY_PK.NEXTVAL, 6, 0), 'MV-20260226-000008', 'AC-20260226-000055', 'Lance Corporal Schofield');</t>
  </si>
  <si>
    <t>INSERT INTO FILMOGRAPHY (FILMOGRAPHY_ID, MOVIE_ID, ACTOR_ID, ACTOR_ROLE) VALUES ('FL-' || TO_CHAR(SYSDATE, 'YYYYMMDD-') || LPAD(SEQ_FILMOGRAPHY_PK.NEXTVAL, 6, 0), 'MV-20260226-000008', 'AC-20260226-000056', 'Lance Corporal Blake');</t>
  </si>
  <si>
    <t>INSERT INTO FILMOGRAPHY (FILMOGRAPHY_ID, MOVIE_ID, ACTOR_ID, ACTOR_ROLE) VALUES ('FL-' || TO_CHAR(SYSDATE, 'YYYYMMDD-') || LPAD(SEQ_FILMOGRAPHY_PK.NEXTVAL, 6, 0), 'MV-20260226-000008', 'AC-20260226-000057', 'Captain Smith');</t>
  </si>
  <si>
    <t>INSERT INTO FILMOGRAPHY (FILMOGRAPHY_ID, MOVIE_ID, ACTOR_ID, ACTOR_ROLE) VALUES ('FL-' || TO_CHAR(SYSDATE, 'YYYYMMDD-') || LPAD(SEQ_FILMOGRAPHY_PK.NEXTVAL, 6, 0), 'MV-20260226-000008', 'AC-20260226-000058', 'Lieutanant Leslie');</t>
  </si>
  <si>
    <t>INSERT INTO FILMOGRAPHY (FILMOGRAPHY_ID, MOVIE_ID, ACTOR_ID, ACTOR_ROLE) VALUES ('FL-' || TO_CHAR(SYSDATE, 'YYYYMMDD-') || LPAD(SEQ_FILMOGRAPHY_PK.NEXTVAL, 6, 0), 'MV-20260226-000008', 'AC-20260226-000059', 'Lieutanant Blake');</t>
  </si>
  <si>
    <t>INSERT INTO FILMOGRAPHY (FILMOGRAPHY_ID, MOVIE_ID, ACTOR_ID, ACTOR_ROLE) VALUES ('FL-' || TO_CHAR(SYSDATE, 'YYYYMMDD-') || LPAD(SEQ_FILMOGRAPHY_PK.NEXTVAL, 6, 0), 'MV-20260226-000008', 'AC-20260226-000060', 'Lauri');</t>
  </si>
  <si>
    <t>INSERT INTO FILMOGRAPHY (FILMOGRAPHY_ID, MOVIE_ID, ACTOR_ID, ACTOR_ROLE) VALUES ('FL-' || TO_CHAR(SYSDATE, 'YYYYMMDD-') || LPAD(SEQ_FILMOGRAPHY_PK.NEXTVAL, 6, 0), 'MV-20260226-000008', 'AC-20260226-000061', 'General Erinmore');</t>
  </si>
  <si>
    <t>INSERT INTO FILMOGRAPHY (FILMOGRAPHY_ID, MOVIE_ID, ACTOR_ID, ACTOR_ROLE) VALUES ('FL-' || TO_CHAR(SYSDATE, 'YYYYMMDD-') || LPAD(SEQ_FILMOGRAPHY_PK.NEXTVAL, 6, 0), 'MV-20260226-000008', 'AC-20260226-000062', 'Colonel Mackenzie');</t>
  </si>
  <si>
    <t>INSERT INTO FILMOGRAPHY (FILMOGRAPHY_ID, MOVIE_ID, ACTOR_ID, ACTOR_ROLE) VALUES ('FL-' || TO_CHAR(SYSDATE, 'YYYYMMDD-') || LPAD(SEQ_FILMOGRAPHY_PK.NEXTVAL, 6, 0), 'MV-20260226-000008', 'AC-20260226-000063', 'Sergeant Sanders');</t>
  </si>
  <si>
    <t>INSERT INTO FILMOGRAPHY (FILMOGRAPHY_ID, MOVIE_ID, ACTOR_ID, ACTOR_ROLE) VALUES ('FL-' || TO_CHAR(SYSDATE, 'YYYYMMDD-') || LPAD(SEQ_FILMOGRAPHY_PK.NEXTVAL, 6, 0), 'MV-20260226-000009', 'AC-20260226-000064', 'Dom Cobb');</t>
  </si>
  <si>
    <t>INSERT INTO FILMOGRAPHY (FILMOGRAPHY_ID, MOVIE_ID, ACTOR_ID, ACTOR_ROLE) VALUES ('FL-' || TO_CHAR(SYSDATE, 'YYYYMMDD-') || LPAD(SEQ_FILMOGRAPHY_PK.NEXTVAL, 6, 0), 'MV-20260226-000009', 'AC-20260226-000065', 'Arthur');</t>
  </si>
  <si>
    <t>INSERT INTO FILMOGRAPHY (FILMOGRAPHY_ID, MOVIE_ID, ACTOR_ID, ACTOR_ROLE) VALUES ('FL-' || TO_CHAR(SYSDATE, 'YYYYMMDD-') || LPAD(SEQ_FILMOGRAPHY_PK.NEXTVAL, 6, 0), 'MV-20260226-000009', 'AC-20260226-000066', 'Saito');</t>
  </si>
  <si>
    <t>INSERT INTO FILMOGRAPHY (FILMOGRAPHY_ID, MOVIE_ID, ACTOR_ID, ACTOR_ROLE) VALUES ('FL-' || TO_CHAR(SYSDATE, 'YYYYMMDD-') || LPAD(SEQ_FILMOGRAPHY_PK.NEXTVAL, 6, 0), 'MV-20260226-000009', 'AC-20260226-000067', 'Eames');</t>
  </si>
  <si>
    <t>INSERT INTO FILMOGRAPHY (FILMOGRAPHY_ID, MOVIE_ID, ACTOR_ID, ACTOR_ROLE) VALUES ('FL-' || TO_CHAR(SYSDATE, 'YYYYMMDD-') || LPAD(SEQ_FILMOGRAPHY_PK.NEXTVAL, 6, 0), 'MV-20260226-000009', 'AC-20260226-000068', 'Ariadne');</t>
  </si>
  <si>
    <t>INSERT INTO FILMOGRAPHY (FILMOGRAPHY_ID, MOVIE_ID, ACTOR_ID, ACTOR_ROLE) VALUES ('FL-' || TO_CHAR(SYSDATE, 'YYYYMMDD-') || LPAD(SEQ_FILMOGRAPHY_PK.NEXTVAL, 6, 0), 'MV-20260226-000009', 'AC-20260226-000069', 'Yusuf');</t>
  </si>
  <si>
    <t>INSERT INTO FILMOGRAPHY (FILMOGRAPHY_ID, MOVIE_ID, ACTOR_ID, ACTOR_ROLE) VALUES ('FL-' || TO_CHAR(SYSDATE, 'YYYYMMDD-') || LPAD(SEQ_FILMOGRAPHY_PK.NEXTVAL, 6, 0), 'MV-20260226-000009', 'AC-20260226-000070', 'Robert Fischer, Jr.');</t>
  </si>
  <si>
    <t>INSERT INTO FILMOGRAPHY (FILMOGRAPHY_ID, MOVIE_ID, ACTOR_ID, ACTOR_ROLE) VALUES ('FL-' || TO_CHAR(SYSDATE, 'YYYYMMDD-') || LPAD(SEQ_FILMOGRAPHY_PK.NEXTVAL, 6, 0), 'MV-20260226-000009', 'AC-20260226-000071', 'Peter Browing');</t>
  </si>
  <si>
    <t>INSERT INTO FILMOGRAPHY (FILMOGRAPHY_ID, MOVIE_ID, ACTOR_ID, ACTOR_ROLE) VALUES ('FL-' || TO_CHAR(SYSDATE, 'YYYYMMDD-') || LPAD(SEQ_FILMOGRAPHY_PK.NEXTVAL, 6, 0), 'MV-20260226-000009', 'AC-20260226-000072', 'Mal Cobb');</t>
  </si>
  <si>
    <t>INSERT INTO FILMOGRAPHY (FILMOGRAPHY_ID, MOVIE_ID, ACTOR_ID, ACTOR_ROLE) VALUES ('FL-' || TO_CHAR(SYSDATE, 'YYYYMMDD-') || LPAD(SEQ_FILMOGRAPHY_PK.NEXTVAL, 6, 0), 'MV-20260226-000010', 'AC-20260226-000073', 'John Wick');</t>
  </si>
  <si>
    <t>INSERT INTO FILMOGRAPHY (FILMOGRAPHY_ID, MOVIE_ID, ACTOR_ID, ACTOR_ROLE) VALUES ('FL-' || TO_CHAR(SYSDATE, 'YYYYMMDD-') || LPAD(SEQ_FILMOGRAPHY_PK.NEXTVAL, 6, 0), 'MV-20260226-000010', 'AC-20260226-000074', 'Viggo Tarasov');</t>
  </si>
  <si>
    <t>INSERT INTO FILMOGRAPHY (FILMOGRAPHY_ID, MOVIE_ID, ACTOR_ID, ACTOR_ROLE) VALUES ('FL-' || TO_CHAR(SYSDATE, 'YYYYMMDD-') || LPAD(SEQ_FILMOGRAPHY_PK.NEXTVAL, 6, 0), 'MV-20260226-000010', 'AC-20260226-000075', 'Iosef Tarasov');</t>
  </si>
  <si>
    <t>INSERT INTO FILMOGRAPHY (FILMOGRAPHY_ID, MOVIE_ID, ACTOR_ID, ACTOR_ROLE) VALUES ('FL-' || TO_CHAR(SYSDATE, 'YYYYMMDD-') || LPAD(SEQ_FILMOGRAPHY_PK.NEXTVAL, 6, 0), 'MV-20260226-000010', 'AC-20260226-000076', 'Marcus');</t>
  </si>
  <si>
    <t>INSERT INTO FILMOGRAPHY (FILMOGRAPHY_ID, MOVIE_ID, ACTOR_ID, ACTOR_ROLE) VALUES ('FL-' || TO_CHAR(SYSDATE, 'YYYYMMDD-') || LPAD(SEQ_FILMOGRAPHY_PK.NEXTVAL, 6, 0), 'MV-20260226-000010', 'AC-20260226-000077', 'Avi');</t>
  </si>
  <si>
    <t>INSERT INTO FILMOGRAPHY (FILMOGRAPHY_ID, MOVIE_ID, ACTOR_ID, ACTOR_ROLE) VALUES ('FL-' || TO_CHAR(SYSDATE, 'YYYYMMDD-') || LPAD(SEQ_FILMOGRAPHY_PK.NEXTVAL, 6, 0), 'MV-20260226-000010', 'AC-20260226-000078', 'Ms. Perkins');</t>
  </si>
  <si>
    <t>INSERT INTO FILMOGRAPHY (FILMOGRAPHY_ID, MOVIE_ID, ACTOR_ID, ACTOR_ROLE) VALUES ('FL-' || TO_CHAR(SYSDATE, 'YYYYMMDD-') || LPAD(SEQ_FILMOGRAPHY_PK.NEXTVAL, 6, 0), 'MV-20260226-000010', 'AC-20260226-000079', 'Gregori');</t>
  </si>
  <si>
    <t>INSERT INTO FILMOGRAPHY (FILMOGRAPHY_ID, MOVIE_ID, ACTOR_ID, ACTOR_ROLE) VALUES ('FL-' || TO_CHAR(SYSDATE, 'YYYYMMDD-') || LPAD(SEQ_FILMOGRAPHY_PK.NEXTVAL, 6, 0), 'MV-20260226-000010', 'AC-20260226-000080', 'Victor');</t>
  </si>
  <si>
    <t>INSERT INTO FILMOGRAPHY (FILMOGRAPHY_ID, MOVIE_ID, ACTOR_ID, ACTOR_ROLE) VALUES ('FL-' || TO_CHAR(SYSDATE, 'YYYYMMDD-') || LPAD(SEQ_FILMOGRAPHY_PK.NEXTVAL, 6, 0), 'MV-20260226-000010', 'AC-20260226-000081', 'Kirill');</t>
  </si>
  <si>
    <t>INSERT INTO GENRE (GENRE_ID, MOVIE_ID, CATEGORIE_ID) VALUES ('GN-' || TO_CHAR(SYSDATE, 'YYYYMMDD-') || LPAD(SEQ_GENRE_PK.NEXTVAL, 6, 0), 'MV-20260226-000001', 'CT-20260226-000001');</t>
  </si>
  <si>
    <t>INSERT INTO GENRE (GENRE_ID, MOVIE_ID, CATEGORIE_ID) VALUES ('GN-' || TO_CHAR(SYSDATE, 'YYYYMMDD-') || LPAD(SEQ_GENRE_PK.NEXTVAL, 6, 0), 'MV-20260226-000001', 'CT-20260226-000002');</t>
  </si>
  <si>
    <t>INSERT INTO GENRE (GENRE_ID, MOVIE_ID, CATEGORIE_ID) VALUES ('GN-' || TO_CHAR(SYSDATE, 'YYYYMMDD-') || LPAD(SEQ_GENRE_PK.NEXTVAL, 6, 0), 'MV-20260226-000001', 'CT-20260226-000003');</t>
  </si>
  <si>
    <t>INSERT INTO GENRE (GENRE_ID, MOVIE_ID, CATEGORIE_ID) VALUES ('GN-' || TO_CHAR(SYSDATE, 'YYYYMMDD-') || LPAD(SEQ_GENRE_PK.NEXTVAL, 6, 0), 'MV-20260226-000001', 'CT-20260226-000004');</t>
  </si>
  <si>
    <t>INSERT INTO GENRE (GENRE_ID, MOVIE_ID, CATEGORIE_ID) VALUES ('GN-' || TO_CHAR(SYSDATE, 'YYYYMMDD-') || LPAD(SEQ_GENRE_PK.NEXTVAL, 6, 0), 'MV-20260226-000002', 'CT-20260226-000002');</t>
  </si>
  <si>
    <t>INSERT INTO GENRE (GENRE_ID, MOVIE_ID, CATEGORIE_ID) VALUES ('GN-' || TO_CHAR(SYSDATE, 'YYYYMMDD-') || LPAD(SEQ_GENRE_PK.NEXTVAL, 6, 0), 'MV-20260226-000002', 'CT-20260226-000003');</t>
  </si>
  <si>
    <t>INSERT INTO GENRE (GENRE_ID, MOVIE_ID, CATEGORIE_ID) VALUES ('GN-' || TO_CHAR(SYSDATE, 'YYYYMMDD-') || LPAD(SEQ_GENRE_PK.NEXTVAL, 6, 0), 'MV-20260226-000002', 'CT-20260226-000005');</t>
  </si>
  <si>
    <t>INSERT INTO GENRE (GENRE_ID, MOVIE_ID, CATEGORIE_ID) VALUES ('GN-' || TO_CHAR(SYSDATE, 'YYYYMMDD-') || LPAD(SEQ_GENRE_PK.NEXTVAL, 6, 0), 'MV-20260226-000003', 'CT-20260226-000006');</t>
  </si>
  <si>
    <t>INSERT INTO GENRE (GENRE_ID, MOVIE_ID, CATEGORIE_ID) VALUES ('GN-' || TO_CHAR(SYSDATE, 'YYYYMMDD-') || LPAD(SEQ_GENRE_PK.NEXTVAL, 6, 0), 'MV-20260226-000003', 'CT-20260226-000001');</t>
  </si>
  <si>
    <t>INSERT INTO GENRE (GENRE_ID, MOVIE_ID, CATEGORIE_ID) VALUES ('GN-' || TO_CHAR(SYSDATE, 'YYYYMMDD-') || LPAD(SEQ_GENRE_PK.NEXTVAL, 6, 0), 'MV-20260226-000003', 'CT-20260226-000002');</t>
  </si>
  <si>
    <t>INSERT INTO GENRE (GENRE_ID, MOVIE_ID, CATEGORIE_ID) VALUES ('GN-' || TO_CHAR(SYSDATE, 'YYYYMMDD-') || LPAD(SEQ_GENRE_PK.NEXTVAL, 6, 0), 'MV-20260226-000003', 'CT-20260226-000005');</t>
  </si>
  <si>
    <t>INSERT INTO GENRE (GENRE_ID, MOVIE_ID, CATEGORIE_ID) VALUES ('GN-' || TO_CHAR(SYSDATE, 'YYYYMMDD-') || LPAD(SEQ_GENRE_PK.NEXTVAL, 6, 0), 'MV-20260226-000003', 'CT-20260226-000004');</t>
  </si>
  <si>
    <t>INSERT INTO CATEGORIES (CATEGORIE_ID, CATEGORIE_NAME) VALUES ('CT-' || TO_CHAR(SYSDATE, 'YYYYMMDD-') || LPAD(SEQ_CATEGORIES_PK.NEXTVAL, 6, 0), '판타지');</t>
  </si>
  <si>
    <t>INSERT INTO CATEGORIES (CATEGORIE_ID, CATEGORIE_NAME) VALUES ('CT-' || TO_CHAR(SYSDATE, 'YYYYMMDD-') || LPAD(SEQ_CATEGORIES_PK.NEXTVAL, 6, 0), '음악');</t>
  </si>
  <si>
    <t>INSERT INTO CATEGORIES (CATEGORIE_ID, CATEGORIE_NAME) VALUES ('CT-' || TO_CHAR(SYSDATE, 'YYYYMMDD-') || LPAD(SEQ_CATEGORIES_PK.NEXTVAL, 6, 0), '코미디');</t>
  </si>
  <si>
    <t>INSERT INTO CATEGORIES (CATEGORIE_ID, CATEGORIE_NAME) VALUES ('CT-' || TO_CHAR(SYSDATE, 'YYYYMMDD-') || LPAD(SEQ_CATEGORIES_PK.NEXTVAL, 6, 0), '애니메이션');</t>
  </si>
  <si>
    <t>INSERT INTO CATEGORIES (CATEGORIE_ID, CATEGORIE_NAME) VALUES ('CT-' || TO_CHAR(SYSDATE, 'YYYYMMDD-') || LPAD(SEQ_CATEGORIES_PK.NEXTVAL, 6, 0), '모험');</t>
  </si>
  <si>
    <t>INSERT INTO CATEGORIES (CATEGORIE_ID, CATEGORIE_NAME) VALUES ('CT-' || TO_CHAR(SYSDATE, 'YYYYMMDD-') || LPAD(SEQ_CATEGORIES_PK.NEXTVAL, 6, 0), '가족');</t>
  </si>
  <si>
    <t>Rake''s Son</t>
    <phoneticPr fontId="5" type="noConversion"/>
  </si>
  <si>
    <t>INSERT INTO MOVIES (MOVIE_ID, POSTER_URL, TITLE, MOVIE_RATING, OPEN_DATE, OPEN_COUNTRY, RUNNING_TIME, INTRODUCE, SYNOPSIS, ORIGNAL_TITLE, STATE, LANGUAGE, BUDGET, PROFIT) VALUES ('MV-' || TO_CHAR(SYSDATE, 'YYYYMMDD-') || LPAD(SEQ_MOVIES_PK.NEXTVAL, 6, 0), '</t>
    <phoneticPr fontId="5" type="noConversion"/>
  </si>
  <si>
    <t>INSERT INTO MOVIES (MOVIE_ID, POSTER_URL, TITLE, MOVIE_RATING, OPEN_DATE, OPEN_COUNTRY, RUNNING_TIME, INTRODUCE, SYNOPSIS, ORIGNAL_TITLE, STATE, LANGUAGE, BUDGET, PROFIT) VALUES ('MV-' || TO_CHAR(SYSDATE, 'YYYYMMDD-') || LPAD(SEQ_MOVIES_PK.NEXTVAL, 6, 1), '</t>
  </si>
  <si>
    <t>INSERT INTO MOVIES (MOVIE_ID, POSTER_URL, TITLE, MOVIE_RATING, OPEN_DATE, OPEN_COUNTRY, RUNNING_TIME, INTRODUCE, SYNOPSIS, ORIGNAL_TITLE, STATE, LANGUAGE, BUDGET, PROFIT) VALUES ('MV-' || TO_CHAR(SYSDATE, 'YYYYMMDD-') || LPAD(SEQ_MOVIES_PK.NEXTVAL, 6, 2), '</t>
  </si>
  <si>
    <t>INSERT INTO MOVIES (MOVIE_ID, POSTER_URL, TITLE, MOVIE_RATING, OPEN_DATE, OPEN_COUNTRY, RUNNING_TIME, INTRODUCE, SYNOPSIS, ORIGNAL_TITLE, STATE, LANGUAGE, BUDGET, PROFIT) VALUES ('MV-' || TO_CHAR(SYSDATE, 'YYYYMMDD-') || LPAD(SEQ_MOVIES_PK.NEXTVAL, 6, 3), '</t>
  </si>
  <si>
    <t>INSERT INTO MOVIES (MOVIE_ID, POSTER_URL, TITLE, MOVIE_RATING, OPEN_DATE, OPEN_COUNTRY, RUNNING_TIME, INTRODUCE, SYNOPSIS, ORIGNAL_TITLE, STATE, LANGUAGE, BUDGET, PROFIT) VALUES ('MV-' || TO_CHAR(SYSDATE, 'YYYYMMDD-') || LPAD(SEQ_MOVIES_PK.NEXTVAL, 6, 4), '</t>
  </si>
  <si>
    <t>INSERT INTO MOVIES (MOVIE_ID, POSTER_URL, TITLE, MOVIE_RATING, OPEN_DATE, OPEN_COUNTRY, RUNNING_TIME, INTRODUCE, SYNOPSIS, ORIGNAL_TITLE, STATE, LANGUAGE, BUDGET, PROFIT) VALUES ('MV-' || TO_CHAR(SYSDATE, 'YYYYMMDD-') || LPAD(SEQ_MOVIES_PK.NEXTVAL, 6, 5), '</t>
  </si>
  <si>
    <t>INSERT INTO MOVIES (MOVIE_ID, POSTER_URL, TITLE, MOVIE_RATING, OPEN_DATE, OPEN_COUNTRY, RUNNING_TIME, INTRODUCE, SYNOPSIS, ORIGNAL_TITLE, STATE, LANGUAGE, BUDGET, PROFIT) VALUES ('MV-' || TO_CHAR(SYSDATE, 'YYYYMMDD-') || LPAD(SEQ_MOVIES_PK.NEXTVAL, 6, 6), '</t>
  </si>
  <si>
    <t>INSERT INTO MOVIES (MOVIE_ID, POSTER_URL, TITLE, MOVIE_RATING, OPEN_DATE, OPEN_COUNTRY, RUNNING_TIME, INTRODUCE, SYNOPSIS, ORIGNAL_TITLE, STATE, LANGUAGE, BUDGET, PROFIT) VALUES ('MV-' || TO_CHAR(SYSDATE, 'YYYYMMDD-') || LPAD(SEQ_MOVIES_PK.NEXTVAL, 6, 7), '</t>
  </si>
  <si>
    <t>INSERT INTO MOVIES (MOVIE_ID, POSTER_URL, TITLE, MOVIE_RATING, OPEN_DATE, OPEN_COUNTRY, RUNNING_TIME, INTRODUCE, SYNOPSIS, ORIGNAL_TITLE, STATE, LANGUAGE, BUDGET, PROFIT) VALUES ('MV-' || TO_CHAR(SYSDATE, 'YYYYMMDD-') || LPAD(SEQ_MOVIES_PK.NEXTVAL, 6, 8), '</t>
  </si>
  <si>
    <t>INSERT INTO MOVIES (MOVIE_ID, POSTER_URL, TITLE, MOVIE_RATING, OPEN_DATE, OPEN_COUNTRY, RUNNING_TIME, INTRODUCE, SYNOPSIS, ORIGNAL_TITLE, STATE, LANGUAGE, BUDGET, PROFIT) VALUES ('MV-' || TO_CHAR(SYSDATE, 'YYYYMMDD-') || LPAD(SEQ_MOVIES_PK.NEXTVAL, 6, 9), '</t>
  </si>
  <si>
    <t>INSERT INTO MOVIES (MOVIE_ID, POSTER_URL, TITLE, MOVIE_RATING, OPEN_DATE, OPEN_COUNTRY, RUNNING_TIME, INTRODUCE, SYNOPSIS, ORIGNAL_TITLE, STATE, LANGUAGE, BUDGET, PROFIT) VALUES ('MV-' || TO_CHAR(SYSDATE, 'YYYYMMDD-') || LPAD(SEQ_MOVIES_PK.NEXTVAL, 6, 1), '헬프 포스터 URL  ', '헬프 ! ', 'U', ''TO_DATE('1965.07.29', 'YYYY.MM.DD')', 'GB', '92', 'Stop worrying! HELP! is on the way!', '우연히 암흑의 여왕에 바쳐지는 제물이 된 링고를 구하기 위해 비틀즈 멤버들이 고군분투한다.', 'HELP!', '개봉됨', '영어', '1500000', 'NULL');</t>
  </si>
  <si>
    <t>INSERT INTO MOVIES (MOVIE_ID, POSTER_URL, TITLE, MOVIE_RATING, OPEN_DATE, OPEN_COUNTRY, RUNNING_TIME, INTRODUCE, SYNOPSIS, ORIGNAL_TITLE, STATE, LANGUAGE, BUDGET, PROFIT) VALUES ('MV-' || TO_CHAR(SYSDATE, 'YYYYMMDD-') || LPAD(SEQ_MOVIES_PK.NEXTVAL, 6, 2), '케데헌2 URL ', 'Untitled Kpop Demon Hunters Sequel', '', ''TO_DATE('', 'YYYY.MM.DD')', '', 'NULL', '', 'The second installment in the franchise. Plot TBA.', '', '제작 예정', '영어', 'NULL', 'NULL');</t>
  </si>
  <si>
    <t>INSERT INTO MOVIES (MOVIE_ID, POSTER_URL, TITLE, MOVIE_RATING, OPEN_DATE, OPEN_COUNTRY, RUNNING_TIME, INTRODUCE, SYNOPSIS, ORIGNAL_TITLE, STATE, LANGUAGE, BUDGET, PROFIT) VALUES ('MV-' || TO_CHAR(SYSDATE, 'YYYYMMDD-') || LPAD(SEQ_MOVIES_PK.NEXTVAL, 6, 3), '첸쏘맨 URL', '극장판 체인소 맨 : 레제편', '15', ''TO_DATE('2025.09.24', 'YYYY.MM.DD')', 'KR', '100', '아무도 모르는, 소녀의 마음 ', '데블 헌터로 일하는 소년 ‘덴지’는 조직의 배신으로 죽음에 내몰린 순간 전기톱 악마견 ‘포치타’와의 계약으로 하나로 합쳐져 누구도 막을 수 없는 존재 ‘체인소 맨’으로 다시 태어난다. 악마와 사냥꾼, 그리고 정체불명의 적들이 얽힌 잔혹한 전쟁 속에서 ‘레제’라는 이름의 미스터리한 소녀가 ‘덴지’ 앞에 나타나는데… ‘덴지’는 사랑이라는 감정에 이끌려 지금껏 가장 위험한 배틀에 몸을 던진다!', '劇場版 チェンソーマン レゼ篇', '개봉됨', '일본어', '4100000', '174502910');</t>
  </si>
  <si>
    <t>INSERT INTO MOVIES (MOVIE_ID, POSTER_URL, TITLE, MOVIE_RATING, OPEN_DATE, OPEN_COUNTRY, RUNNING_TIME, INTRODUCE, SYNOPSIS, ORIGNAL_TITLE, STATE, LANGUAGE, BUDGET, PROFIT) VALUES ('MV-' || TO_CHAR(SYSDATE, 'YYYYMMDD-') || LPAD(SEQ_MOVIES_PK.NEXTVAL, 6, 4), '토마토 URL', '토마토 공격대', 'PG', ''TO_DATE('1978.10.04', 'YYYY.MM.DD')', 'US', '87', 'A new musical-comedy-horror show!', '식탁에 있던 토마토들이 어느 날 갑자기 사람들을 공격하기 시작하면서 토마토와 인간은 한바탕 전쟁을 벌이기 시작한다!', 'Attack of the Killer Tomatoes!', '개봉됨', '영어', '100420', '567000');</t>
  </si>
  <si>
    <t>INSERT INTO MOVIES (MOVIE_ID, POSTER_URL, TITLE, MOVIE_RATING, OPEN_DATE, OPEN_COUNTRY, RUNNING_TIME, INTRODUCE, SYNOPSIS, ORIGNAL_TITLE, STATE, LANGUAGE, BUDGET, PROFIT) VALUES ('MV-' || TO_CHAR(SYSDATE, 'YYYYMMDD-') || LPAD(SEQ_MOVIES_PK.NEXTVAL, 6, 5), '바스터즈 URL', '바스터즈: 거친 녀석들', '18', ''TO_DATE('2009.10.28', 'YYYY.MM.DD')', 'KR', '152', '가장 쿨한 녀석들의 통쾌한 복수', '2차 세계 대전, 나치의 잔인하고 폭력적인 행태에 분개한 미군 알도 레인 중위는 당한 만큼 돌려준다는 강렬한 신념으로 최고의 재능을 가진 8명의 대원을 모아 바스터즈란 군단을 만들어 나치가 점령한 프랑스에 잠입해 복수를 시작한다. 어느 날 알도 레인 중위는 독일의 여배우이자 영국의 더블 스파이인 브리짓에게 뜻밖의 소식을 듣는다. 나치 수뇌부가 모두 참석하는 독일 전쟁 영화의 프리미어에 히틀러도 참석을 한다는 것. 한 번에 나치를 모두 쓸어버릴 계획으로 바스터즈는 이탈리아 영화 관계자로 분장해 극장으로 향하는데...', 'Inglourious Basterds', '개봉됨', '영어', '70000000', '321457747');</t>
  </si>
  <si>
    <t>INSERT INTO MOVIES (MOVIE_ID, POSTER_URL, TITLE, MOVIE_RATING, OPEN_DATE, OPEN_COUNTRY, RUNNING_TIME, INTRODUCE, SYNOPSIS, ORIGNAL_TITLE, STATE, LANGUAGE, BUDGET, PROFIT) VALUES ('MV-' || TO_CHAR(SYSDATE, 'YYYYMMDD-') || LPAD(SEQ_MOVIES_PK.NEXTVAL, 6, 6), '익스트렉션 URL', '익스트랙션', '19', ''TO_DATE('2020.04.24', 'YYYY.MM.DD')', 'KR', '116', ' When the mission ends, redemption begins', '어떤 일에도 쉽게 동요하지 않는 냉철한 청부업자. 그가 살아남기 위해 자신을 끊임없이 성찰한다. 마약왕의 납치된 아들을 구하러 간 방글라데시에서 그 모든 것이 시작됐다.', 'Extraction', '개봉됨', '영어', '65000000', 'NULL');</t>
  </si>
  <si>
    <t>INSERT INTO MOVIES (MOVIE_ID, POSTER_URL, TITLE, MOVIE_RATING, OPEN_DATE, OPEN_COUNTRY, RUNNING_TIME, INTRODUCE, SYNOPSIS, ORIGNAL_TITLE, STATE, LANGUAGE, BUDGET, PROFIT) VALUES ('MV-' || TO_CHAR(SYSDATE, 'YYYYMMDD-') || LPAD(SEQ_MOVIES_PK.NEXTVAL, 6, 7), '1917 URL', '1917', '15', ''TO_DATE('2020.02.19', 'YYYY.MM.DD')', 'KR', '119', '그들이 싸워야 할 것은 적이 아니라 시간이었다', '제1차 세계대전이 한창인 1917년 4월 6일. 독일군에 의해 모든 통신망이 파괴된 상황 속에서 서부전선의 영국군 병사 스코필드와 블레이크에게 하나의 미션이 주어졌다. 독일군의 함정에 빠진 영국군 부대의 수장 매켄지 중령에게 에린무어 장군의 공격 중지 명령을 전달하라는 것. 블레이크는 데본셔 연대에 있는 형을 구하기 위해 기꺼이 임무를 수행한다. 동료인 스코필드는 처음엔 당황스러워하지만 이내 1600명의 동료들을 구하기 위해 전쟁터 한가운데를 가로지르는 여정에 동참한다.', '', '개봉됨', '영어', '100000000', '446064352');</t>
  </si>
  <si>
    <t>INSERT INTO MOVIES (MOVIE_ID, POSTER_URL, TITLE, MOVIE_RATING, OPEN_DATE, OPEN_COUNTRY, RUNNING_TIME, INTRODUCE, SYNOPSIS, ORIGNAL_TITLE, STATE, LANGUAGE, BUDGET, PROFIT) VALUES ('MV-' || TO_CHAR(SYSDATE, 'YYYYMMDD-') || LPAD(SEQ_MOVIES_PK.NEXTVAL, 6, 8), '인셉션 URL ', '인셉션', '12', ''TO_DATE('2010.07.21', 'YYYY.MM.DD')', 'KR', '148', '생각을 훔치는 거대한 전쟁', '타인의 꿈에 들어가 생각을 훔치는 특수 보안요원 코브. 그를 이용해 라이벌 기업의 정보를 빼내고자 하는 사이토는 코브에게 생각을 훔치는 것이 아닌, 생각을 심는 ‘인셉션’ 작전을 제안한다. 성공 조건으로 국제적인 수배자가 되어있는 코브의 신분을 바꿔주겠다는 거부할 수 없는 제안을 하고, 사랑하는 아이들에게 돌아가기 위해 그 제안을 받아들인다. 최강의 팀을 구성, 표적인 피셔에게 접근해서 ‘인셉션’ 작전을 실행하지만 예기치 못한 사건들과 마주하게 되는데… 꿈 VS 현실! 시간, 규칙, 타이밍 모든 것이 완벽해야만 하는, 단 한 번도 성공한 적 없는 ‘인셉션’ 작전이 시작된다!', 'Inception', '개봉됨', '영어', '160000000', '839030630');</t>
  </si>
  <si>
    <t>INSERT INTO MOVIES (MOVIE_ID, POSTER_URL, TITLE, MOVIE_RATING, OPEN_DATE, OPEN_COUNTRY, RUNNING_TIME, INTRODUCE, SYNOPSIS, ORIGNAL_TITLE, STATE, LANGUAGE, BUDGET, PROFIT) VALUES ('MV-' || TO_CHAR(SYSDATE, 'YYYYMMDD-') || LPAD(SEQ_MOVIES_PK.NEXTVAL, 6, 9), '존 윅 URL', '존 윅', '19', ''TO_DATE('2015.01.21', 'YYYY.MM.DD')', 'KR', '101', '그를 건드리지 말았어야 했다', '전설이라 불리던 킬러 존 윅은 사랑하는 여인을 만나 결혼을 하면서 범죄의 세계에서 은퇴한다. 행복도 잠시, 투병 끝에 부인이 세상을 떠나고 그의 앞으로 부인이 죽기 전에 보낸 강아지 한 마리가 선물로 배달된다. 어느 날 그의 차를 탐낸 러시아 마피아의 일원 요세프가 존 윅을 폭행하고 애완견 데이지마저 죽여버리는 일이 벌어진다. 그런데 요세프는 과거 존 윅을 고용한 적 있는 러시아 마피아 보스 비고의 아들이다. 마지막 남은 애완견마저 잃은 존 윅은 이제 그만의 방식으로 복수를 시작하는데...', 'John Wick', '개봉됨', '영어', '20000000', '88761661');</t>
  </si>
  <si>
    <t>INSERT INTO MOVIES (MOVIE_ID, POSTER_URL, TITLE, MOVIE_RATING, OPEN_DATE, OPEN_COUNTRY, RUNNING_TIME, INTRODUCE, SYNOPSIS, ORIGNAL_TITLE, STATE, LANGUAGE, BUDGET, PROFIT) VALUES ('MV-' || TO_CHAR(SYSDATE, 'YYYYMMDD-') || LPAD(SEQ_MOVIES_PK.NEXTVAL, 6, 0), '케데헌 URL', '케이팝 데몬 헌터스', '12', ''TO_DATE('2025.10.31', 'YYYY.MM.DD')', 'KR', '96', 'They sing. They dance. They battle demons.', '케이팝 슈퍼스타 루미, 미라, 조이. 매진을 기록하는 대형 스타디움 공연이 없을 때면 이들은 또 다른 활동에 나선다. 바로 비밀 능력을 이용해 팬들을 초자연적 위협으로부터 보호하는 것.', 'KPOP Demon Hunters ', '개봉됨', '영어', '100000000', '24690793');</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</si>
</sst>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26" formatCode="\$#,##0.00_);[Red]\(\$#,##0.00\)"/>
  </numFmts>
  <fonts count="8" x14ac:knownFonts="1">
    <font>
      <sz val="11"/>
      <color rgb="FF000000"/>
      <name val="맑은 고딕"/>
    </font>
    <font>
      <sz val="11"/>
      <color rgb="FF000000"/>
      <name val="맑은 고딕"/>
      <family val="3"/>
      <charset val="129"/>
    </font>
    <font>
      <sz val="11"/>
      <color rgb="FF9C0006"/>
      <name val="맑은 고딕"/>
      <family val="3"/>
      <charset val="129"/>
    </font>
    <font>
      <sz val="11"/>
      <color rgb="FF4472C4"/>
      <name val="맑은 고딕"/>
      <family val="3"/>
      <charset val="129"/>
    </font>
    <font>
      <sz val="11"/>
      <color rgb="FFFF0000"/>
      <name val="맑은 고딕"/>
      <family val="3"/>
      <charset val="129"/>
    </font>
    <font>
      <sz val="8"/>
      <name val="돋움"/>
      <family val="3"/>
      <charset val="129"/>
    </font>
    <font>
      <sz val="12"/>
      <color rgb="FFFF0000"/>
      <name val="맑은 고딕"/>
      <family val="3"/>
      <charset val="129"/>
    </font>
    <font>
      <sz val="12"/>
      <color rgb="FF000000"/>
      <name val="맑은 고딕"/>
      <family val="3"/>
      <charset val="129"/>
    </font>
  </fonts>
  <fills count="5">
    <fill>
      <patternFill patternType="none"/>
    </fill>
    <fill>
      <patternFill patternType="gray125"/>
    </fill>
    <fill>
      <patternFill patternType="solid">
        <fgColor rgb="FFFFC7CE"/>
        <bgColor indexed="64"/>
      </patternFill>
    </fill>
    <fill>
      <patternFill patternType="solid">
        <fgColor rgb="FFFFCEB0"/>
        <bgColor indexed="64"/>
      </patternFill>
    </fill>
    <fill>
      <patternFill patternType="solid">
        <fgColor rgb="FFFFFFFF"/>
        <bgColor indexed="64"/>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2" borderId="0">
      <alignment vertical="center"/>
    </xf>
  </cellStyleXfs>
  <cellXfs count="29">
    <xf numFmtId="0" fontId="0" fillId="0" borderId="0" xfId="0">
      <alignment vertical="center"/>
    </xf>
    <xf numFmtId="0" fontId="0" fillId="0" borderId="1" xfId="0" applyBorder="1">
      <alignment vertical="center"/>
    </xf>
    <xf numFmtId="0" fontId="3" fillId="0" borderId="1" xfId="0" applyFont="1" applyBorder="1">
      <alignment vertical="center"/>
    </xf>
    <xf numFmtId="0" fontId="4" fillId="0" borderId="1" xfId="0" applyFont="1" applyBorder="1">
      <alignment vertical="center"/>
    </xf>
    <xf numFmtId="0" fontId="4"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14" fontId="0" fillId="0" borderId="1" xfId="0" applyNumberFormat="1" applyBorder="1">
      <alignment vertical="center"/>
    </xf>
    <xf numFmtId="26" fontId="0" fillId="0" borderId="1" xfId="0" applyNumberFormat="1" applyBorder="1">
      <alignment vertical="center"/>
    </xf>
    <xf numFmtId="0" fontId="4" fillId="0" borderId="0" xfId="0" applyFont="1" applyAlignment="1">
      <alignment horizontal="left" vertical="center"/>
    </xf>
    <xf numFmtId="0" fontId="0" fillId="0" borderId="2" xfId="0" applyBorder="1">
      <alignment vertical="center"/>
    </xf>
    <xf numFmtId="0" fontId="4" fillId="0" borderId="2" xfId="0" applyFont="1" applyBorder="1">
      <alignment vertical="center"/>
    </xf>
    <xf numFmtId="0" fontId="0" fillId="0" borderId="3" xfId="0" applyBorder="1">
      <alignment vertical="center"/>
    </xf>
    <xf numFmtId="0" fontId="4" fillId="0" borderId="3" xfId="0" applyFont="1" applyBorder="1">
      <alignment vertical="center"/>
    </xf>
    <xf numFmtId="0" fontId="3" fillId="0" borderId="4" xfId="0" applyFont="1" applyBorder="1" applyAlignment="1">
      <alignment horizontal="left" vertical="center"/>
    </xf>
    <xf numFmtId="0" fontId="0" fillId="0" borderId="4" xfId="0" applyBorder="1">
      <alignment vertical="center"/>
    </xf>
    <xf numFmtId="0" fontId="0" fillId="0" borderId="2" xfId="0" quotePrefix="1" applyBorder="1">
      <alignment vertical="center"/>
    </xf>
    <xf numFmtId="0" fontId="3" fillId="0" borderId="1" xfId="0" applyFont="1" applyBorder="1" applyAlignment="1">
      <alignment horizontal="left" vertical="center"/>
    </xf>
    <xf numFmtId="0" fontId="4" fillId="0" borderId="4" xfId="0" applyFont="1" applyBorder="1">
      <alignment vertical="center"/>
    </xf>
    <xf numFmtId="0" fontId="3" fillId="0" borderId="4" xfId="0" applyFont="1" applyBorder="1">
      <alignment vertical="center"/>
    </xf>
    <xf numFmtId="0" fontId="2" fillId="3" borderId="1" xfId="1" applyFill="1" applyBorder="1">
      <alignment vertical="center"/>
    </xf>
    <xf numFmtId="0" fontId="0" fillId="3" borderId="0" xfId="0" applyFill="1">
      <alignment vertical="center"/>
    </xf>
    <xf numFmtId="0" fontId="2" fillId="3" borderId="1" xfId="1" applyFill="1" applyBorder="1" applyAlignment="1">
      <alignment horizontal="center" vertical="center"/>
    </xf>
    <xf numFmtId="0" fontId="1" fillId="0" borderId="1" xfId="0" applyFont="1" applyBorder="1">
      <alignment vertical="center"/>
    </xf>
    <xf numFmtId="0" fontId="6" fillId="4" borderId="5" xfId="0" applyFont="1" applyFill="1" applyBorder="1" applyAlignment="1">
      <alignment horizontal="left" vertical="center" indent="1"/>
    </xf>
    <xf numFmtId="0" fontId="0" fillId="4" borderId="5" xfId="0" applyFill="1" applyBorder="1" applyAlignment="1">
      <alignment horizontal="left" vertical="center" indent="1"/>
    </xf>
    <xf numFmtId="0" fontId="7" fillId="4" borderId="5" xfId="0" applyFont="1" applyFill="1" applyBorder="1" applyAlignment="1">
      <alignment horizontal="left" vertical="center" indent="1"/>
    </xf>
    <xf numFmtId="0" fontId="1" fillId="0" borderId="0" xfId="0" applyFont="1">
      <alignment vertical="center"/>
    </xf>
    <xf numFmtId="0" fontId="1" fillId="0" borderId="1" xfId="0" applyFont="1" applyBorder="1" applyAlignment="1">
      <alignment horizontal="center" vertical="center"/>
    </xf>
  </cellXfs>
  <cellStyles count="2">
    <cellStyle name="나쁨" xfId="1" builtinId="27"/>
    <cellStyle name="표준" xfId="0" builtinId="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7"/>
  <sheetViews>
    <sheetView tabSelected="1" zoomScale="70" zoomScaleNormal="70" zoomScaleSheetLayoutView="75" workbookViewId="0">
      <selection activeCell="G14" sqref="G14"/>
    </sheetView>
  </sheetViews>
  <sheetFormatPr defaultColWidth="8.75" defaultRowHeight="16.5" x14ac:dyDescent="0.3"/>
  <cols>
    <col min="1" max="1" width="21.5" style="4" customWidth="1"/>
    <col min="2" max="2" width="11.25" style="5" customWidth="1"/>
    <col min="3" max="3" width="7.25" style="5" customWidth="1"/>
    <col min="4" max="4" width="8.375" style="6" bestFit="1" customWidth="1"/>
    <col min="5" max="5" width="10.375" style="1" bestFit="1" customWidth="1"/>
    <col min="6" max="6" width="10.375" style="6" customWidth="1"/>
    <col min="7" max="7" width="10.25" style="6" customWidth="1"/>
    <col min="8" max="8" width="8.75" style="1" customWidth="1"/>
    <col min="9" max="9" width="7.25" style="1" customWidth="1"/>
    <col min="10" max="10" width="7.375" style="1" customWidth="1"/>
    <col min="11" max="11" width="9" style="1" bestFit="1" customWidth="1"/>
    <col min="12" max="12" width="6.5" style="1" bestFit="1" customWidth="1"/>
    <col min="13" max="14" width="17.25" style="1" bestFit="1" customWidth="1"/>
    <col min="15" max="15" width="17.25" customWidth="1"/>
    <col min="16" max="16" width="20.625" style="1" customWidth="1"/>
    <col min="17" max="16384" width="8.75" style="1"/>
  </cols>
  <sheetData>
    <row r="1" spans="1:18" x14ac:dyDescent="0.3">
      <c r="A1" s="4" t="s">
        <v>53</v>
      </c>
      <c r="B1" s="5" t="s">
        <v>22</v>
      </c>
      <c r="C1" s="5" t="s">
        <v>142</v>
      </c>
      <c r="D1" s="6" t="s">
        <v>228</v>
      </c>
      <c r="E1" s="1" t="s">
        <v>239</v>
      </c>
      <c r="F1" s="6" t="s">
        <v>229</v>
      </c>
      <c r="G1" s="6" t="s">
        <v>232</v>
      </c>
      <c r="H1" s="1" t="s">
        <v>146</v>
      </c>
      <c r="I1" s="1" t="s">
        <v>136</v>
      </c>
      <c r="J1" s="1" t="s">
        <v>130</v>
      </c>
      <c r="K1" s="1" t="s">
        <v>141</v>
      </c>
      <c r="L1" s="1" t="s">
        <v>144</v>
      </c>
      <c r="M1" s="1" t="s">
        <v>132</v>
      </c>
      <c r="N1" s="1" t="s">
        <v>131</v>
      </c>
      <c r="Q1" s="23"/>
      <c r="R1" s="23"/>
    </row>
    <row r="2" spans="1:18" x14ac:dyDescent="0.3">
      <c r="A2" s="4" t="s">
        <v>36</v>
      </c>
      <c r="B2" s="5" t="s">
        <v>241</v>
      </c>
      <c r="C2" s="5" t="s">
        <v>21</v>
      </c>
      <c r="D2" s="6">
        <v>12</v>
      </c>
      <c r="E2" s="7" t="s">
        <v>19</v>
      </c>
      <c r="F2" s="6" t="s">
        <v>151</v>
      </c>
      <c r="G2" s="6">
        <v>96</v>
      </c>
      <c r="H2" s="1" t="s">
        <v>47</v>
      </c>
      <c r="I2" s="1" t="s">
        <v>49</v>
      </c>
      <c r="J2" s="1" t="s">
        <v>66</v>
      </c>
      <c r="K2" s="1" t="s">
        <v>138</v>
      </c>
      <c r="L2" s="1" t="s">
        <v>137</v>
      </c>
      <c r="M2" s="8">
        <v>100000000</v>
      </c>
      <c r="N2" s="8">
        <v>24690793</v>
      </c>
      <c r="O2" s="23" t="s">
        <v>826</v>
      </c>
      <c r="P2" s="1" t="str">
        <f>O2 &amp; _xlfn.TEXTJOIN("', '",FALSE,B2:D2,"'TO_DATE('" &amp; E2 &amp; "', 'YYYY.MM.DD')",F2,IF(G2&lt;&gt;"",G2,"NULL"), H2:L2,IF(M2&lt;&gt;"",M2,"NULL"),IF(N2&lt;&gt;"",N2,"NULL")) &amp; "');"</f>
        <v>INSERT INTO MOVIES (MOVIE_ID, POSTER_URL, TITLE, MOVIE_RATING, OPEN_DATE, OPEN_COUNTRY, RUNNING_TIME, INTRODUCE, SYNOPSIS, ORIGNAL_TITLE, STATE, LANGUAGE, BUDGET, PROFIT) VALUES ('MV-' || TO_CHAR(SYSDATE, 'YYYYMMDD-') || LPAD(SEQ_MOVIES_PK.NEXTVAL, 6, 0), '케데헌 URL', '케이팝 데몬 헌터스', '12', ''TO_DATE('2025.10.31', 'YYYY.MM.DD')', 'KR', '96', 'They sing. They dance. They battle demons.', '케이팝 슈퍼스타 루미, 미라, 조이. 매진을 기록하는 대형 스타디움 공연이 없을 때면 이들은 또 다른 활동에 나선다. 바로 비밀 능력을 이용해 팬들을 초자연적 위협으로부터 보호하는 것.', 'KPOP Demon Hunters ', '개봉됨', '영어', '100000000', '24690793');</v>
      </c>
      <c r="Q2" s="23" t="s">
        <v>845</v>
      </c>
    </row>
    <row r="3" spans="1:18" x14ac:dyDescent="0.3">
      <c r="A3" s="4" t="s">
        <v>406</v>
      </c>
      <c r="B3" s="5" t="s">
        <v>171</v>
      </c>
      <c r="C3" s="5" t="s">
        <v>235</v>
      </c>
      <c r="D3" s="6" t="s">
        <v>152</v>
      </c>
      <c r="E3" s="7" t="s">
        <v>20</v>
      </c>
      <c r="F3" s="6" t="s">
        <v>134</v>
      </c>
      <c r="G3" s="6">
        <v>92</v>
      </c>
      <c r="H3" s="1" t="s">
        <v>128</v>
      </c>
      <c r="I3" s="1" t="s">
        <v>42</v>
      </c>
      <c r="J3" s="1" t="s">
        <v>246</v>
      </c>
      <c r="K3" s="1" t="s">
        <v>138</v>
      </c>
      <c r="L3" s="1" t="s">
        <v>137</v>
      </c>
      <c r="M3" s="8">
        <v>1500000</v>
      </c>
      <c r="N3" s="20"/>
      <c r="O3" s="23" t="s">
        <v>827</v>
      </c>
      <c r="P3" s="1" t="str">
        <f t="shared" ref="P3:Q11" si="0">O3 &amp; _xlfn.TEXTJOIN("', '",FALSE,B3:D3,"'TO_DATE('" &amp; E3 &amp; "', 'YYYY.MM.DD')",F3,IF(G3&lt;&gt;"",G3,"NULL"), H3:L3,IF(M3&lt;&gt;"",M3,"NULL"),IF(N3&lt;&gt;"",N3,"NULL")) &amp; "');"</f>
        <v>INSERT INTO MOVIES (MOVIE_ID, POSTER_URL, TITLE, MOVIE_RATING, OPEN_DATE, OPEN_COUNTRY, RUNNING_TIME, INTRODUCE, SYNOPSIS, ORIGNAL_TITLE, STATE, LANGUAGE, BUDGET, PROFIT) VALUES ('MV-' || TO_CHAR(SYSDATE, 'YYYYMMDD-') || LPAD(SEQ_MOVIES_PK.NEXTVAL, 6, 1), '헬프 포스터 URL  ', '헬프 ! ', 'U', ''TO_DATE('1965.07.29', 'YYYY.MM.DD')', 'GB', '92', 'Stop worrying! HELP! is on the way!', '우연히 암흑의 여왕에 바쳐지는 제물이 된 링고를 구하기 위해 비틀즈 멤버들이 고군분투한다.', 'HELP!', '개봉됨', '영어', '1500000', 'NULL');</v>
      </c>
      <c r="Q3" s="1" t="s">
        <v>836</v>
      </c>
    </row>
    <row r="4" spans="1:18" x14ac:dyDescent="0.3">
      <c r="A4" s="4" t="s">
        <v>398</v>
      </c>
      <c r="B4" s="5" t="s">
        <v>125</v>
      </c>
      <c r="C4" s="5" t="s">
        <v>127</v>
      </c>
      <c r="D4" s="22"/>
      <c r="E4" s="20"/>
      <c r="F4" s="22"/>
      <c r="G4" s="22"/>
      <c r="H4" s="20"/>
      <c r="I4" s="1" t="s">
        <v>43</v>
      </c>
      <c r="J4" s="20"/>
      <c r="K4" s="1" t="s">
        <v>256</v>
      </c>
      <c r="L4" s="1" t="s">
        <v>137</v>
      </c>
      <c r="M4" s="20"/>
      <c r="N4" s="20"/>
      <c r="O4" s="23" t="s">
        <v>828</v>
      </c>
      <c r="P4" s="1" t="str">
        <f t="shared" si="0"/>
        <v>INSERT INTO MOVIES (MOVIE_ID, POSTER_URL, TITLE, MOVIE_RATING, OPEN_DATE, OPEN_COUNTRY, RUNNING_TIME, INTRODUCE, SYNOPSIS, ORIGNAL_TITLE, STATE, LANGUAGE, BUDGET, PROFIT) VALUES ('MV-' || TO_CHAR(SYSDATE, 'YYYYMMDD-') || LPAD(SEQ_MOVIES_PK.NEXTVAL, 6, 2), '케데헌2 URL ', 'Untitled Kpop Demon Hunters Sequel', '', ''TO_DATE('', 'YYYY.MM.DD')', '', 'NULL', '', 'The second installment in the franchise. Plot TBA.', '', '제작 예정', '영어', 'NULL', 'NULL');</v>
      </c>
      <c r="Q4" s="1" t="s">
        <v>837</v>
      </c>
    </row>
    <row r="5" spans="1:18" x14ac:dyDescent="0.3">
      <c r="A5" s="4" t="s">
        <v>405</v>
      </c>
      <c r="B5" s="5" t="s">
        <v>245</v>
      </c>
      <c r="C5" s="5" t="s">
        <v>189</v>
      </c>
      <c r="D5" s="6">
        <v>15</v>
      </c>
      <c r="E5" s="1" t="s">
        <v>104</v>
      </c>
      <c r="F5" s="6" t="s">
        <v>151</v>
      </c>
      <c r="G5" s="6">
        <v>100</v>
      </c>
      <c r="H5" s="1" t="s">
        <v>71</v>
      </c>
      <c r="I5" s="1" t="s">
        <v>48</v>
      </c>
      <c r="J5" s="1" t="s">
        <v>170</v>
      </c>
      <c r="K5" s="1" t="s">
        <v>138</v>
      </c>
      <c r="L5" s="1" t="s">
        <v>159</v>
      </c>
      <c r="M5" s="8">
        <v>4100000</v>
      </c>
      <c r="N5" s="8">
        <v>174502910</v>
      </c>
      <c r="O5" s="23" t="s">
        <v>829</v>
      </c>
      <c r="P5" s="1" t="str">
        <f t="shared" si="0"/>
        <v>INSERT INTO MOVIES (MOVIE_ID, POSTER_URL, TITLE, MOVIE_RATING, OPEN_DATE, OPEN_COUNTRY, RUNNING_TIME, INTRODUCE, SYNOPSIS, ORIGNAL_TITLE, STATE, LANGUAGE, BUDGET, PROFIT) VALUES ('MV-' || TO_CHAR(SYSDATE, 'YYYYMMDD-') || LPAD(SEQ_MOVIES_PK.NEXTVAL, 6, 3), '첸쏘맨 URL', '극장판 체인소 맨 : 레제편', '15', ''TO_DATE('2025.09.24', 'YYYY.MM.DD')', 'KR', '100', '아무도 모르는, 소녀의 마음 ', '데블 헌터로 일하는 소년 ‘덴지’는 조직의 배신으로 죽음에 내몰린 순간 전기톱 악마견 ‘포치타’와의 계약으로 하나로 합쳐져 누구도 막을 수 없는 존재 ‘체인소 맨’으로 다시 태어난다. 악마와 사냥꾼, 그리고 정체불명의 적들이 얽힌 잔혹한 전쟁 속에서 ‘레제’라는 이름의 미스터리한 소녀가 ‘덴지’ 앞에 나타나는데… ‘덴지’는 사랑이라는 감정에 이끌려 지금껏 가장 위험한 배틀에 몸을 던진다!', '劇場版 チェンソーマン レゼ篇', '개봉됨', '일본어', '4100000', '174502910');</v>
      </c>
      <c r="Q5" s="1" t="s">
        <v>838</v>
      </c>
    </row>
    <row r="6" spans="1:18" x14ac:dyDescent="0.3">
      <c r="A6" s="4" t="s">
        <v>402</v>
      </c>
      <c r="B6" s="5" t="s">
        <v>247</v>
      </c>
      <c r="C6" s="5" t="s">
        <v>289</v>
      </c>
      <c r="D6" s="6" t="s">
        <v>156</v>
      </c>
      <c r="E6" s="1" t="s">
        <v>103</v>
      </c>
      <c r="F6" s="6" t="s">
        <v>157</v>
      </c>
      <c r="G6" s="6">
        <v>87</v>
      </c>
      <c r="H6" s="1" t="s">
        <v>129</v>
      </c>
      <c r="I6" s="1" t="s">
        <v>50</v>
      </c>
      <c r="J6" s="1" t="s">
        <v>168</v>
      </c>
      <c r="K6" s="1" t="s">
        <v>138</v>
      </c>
      <c r="L6" s="1" t="s">
        <v>137</v>
      </c>
      <c r="M6" s="8">
        <v>100420</v>
      </c>
      <c r="N6" s="8">
        <v>567000</v>
      </c>
      <c r="O6" s="23" t="s">
        <v>830</v>
      </c>
      <c r="P6" s="1" t="str">
        <f t="shared" si="0"/>
        <v>INSERT INTO MOVIES (MOVIE_ID, POSTER_URL, TITLE, MOVIE_RATING, OPEN_DATE, OPEN_COUNTRY, RUNNING_TIME, INTRODUCE, SYNOPSIS, ORIGNAL_TITLE, STATE, LANGUAGE, BUDGET, PROFIT) VALUES ('MV-' || TO_CHAR(SYSDATE, 'YYYYMMDD-') || LPAD(SEQ_MOVIES_PK.NEXTVAL, 6, 4), '토마토 URL', '토마토 공격대', 'PG', ''TO_DATE('1978.10.04', 'YYYY.MM.DD')', 'US', '87', 'A new musical-comedy-horror show!', '식탁에 있던 토마토들이 어느 날 갑자기 사람들을 공격하기 시작하면서 토마토와 인간은 한바탕 전쟁을 벌이기 시작한다!', 'Attack of the Killer Tomatoes!', '개봉됨', '영어', '100420', '567000');</v>
      </c>
      <c r="Q6" s="1" t="s">
        <v>839</v>
      </c>
    </row>
    <row r="7" spans="1:18" x14ac:dyDescent="0.3">
      <c r="A7" s="4" t="s">
        <v>399</v>
      </c>
      <c r="B7" s="5" t="s">
        <v>102</v>
      </c>
      <c r="C7" s="5" t="s">
        <v>182</v>
      </c>
      <c r="D7" s="6">
        <v>18</v>
      </c>
      <c r="E7" s="1" t="s">
        <v>106</v>
      </c>
      <c r="F7" s="6" t="s">
        <v>151</v>
      </c>
      <c r="G7" s="6">
        <v>152</v>
      </c>
      <c r="H7" s="1" t="s">
        <v>70</v>
      </c>
      <c r="I7" s="1" t="s">
        <v>51</v>
      </c>
      <c r="J7" s="1" t="s">
        <v>327</v>
      </c>
      <c r="K7" s="1" t="s">
        <v>138</v>
      </c>
      <c r="L7" s="1" t="s">
        <v>137</v>
      </c>
      <c r="M7" s="8">
        <v>70000000</v>
      </c>
      <c r="N7" s="8">
        <v>321457747</v>
      </c>
      <c r="O7" s="23" t="s">
        <v>831</v>
      </c>
      <c r="P7" s="1" t="str">
        <f t="shared" si="0"/>
        <v>INSERT INTO MOVIES (MOVIE_ID, POSTER_URL, TITLE, MOVIE_RATING, OPEN_DATE, OPEN_COUNTRY, RUNNING_TIME, INTRODUCE, SYNOPSIS, ORIGNAL_TITLE, STATE, LANGUAGE, BUDGET, PROFIT) VALUES ('MV-' || TO_CHAR(SYSDATE, 'YYYYMMDD-') || LPAD(SEQ_MOVIES_PK.NEXTVAL, 6, 5), '바스터즈 URL', '바스터즈: 거친 녀석들', '18', ''TO_DATE('2009.10.28', 'YYYY.MM.DD')', 'KR', '152', '가장 쿨한 녀석들의 통쾌한 복수', '2차 세계 대전, 나치의 잔인하고 폭력적인 행태에 분개한 미군 알도 레인 중위는 당한 만큼 돌려준다는 강렬한 신념으로 최고의 재능을 가진 8명의 대원을 모아 바스터즈란 군단을 만들어 나치가 점령한 프랑스에 잠입해 복수를 시작한다. 어느 날 알도 레인 중위는 독일의 여배우이자 영국의 더블 스파이인 브리짓에게 뜻밖의 소식을 듣는다. 나치 수뇌부가 모두 참석하는 독일 전쟁 영화의 프리미어에 히틀러도 참석을 한다는 것. 한 번에 나치를 모두 쓸어버릴 계획으로 바스터즈는 이탈리아 영화 관계자로 분장해 극장으로 향하는데...', 'Inglourious Basterds', '개봉됨', '영어', '70000000', '321457747');</v>
      </c>
      <c r="Q7" s="1" t="s">
        <v>840</v>
      </c>
    </row>
    <row r="8" spans="1:18" x14ac:dyDescent="0.3">
      <c r="A8" s="4" t="s">
        <v>401</v>
      </c>
      <c r="B8" s="5" t="s">
        <v>113</v>
      </c>
      <c r="C8" s="5" t="s">
        <v>291</v>
      </c>
      <c r="D8" s="6">
        <v>19</v>
      </c>
      <c r="E8" s="1" t="s">
        <v>110</v>
      </c>
      <c r="F8" s="6" t="s">
        <v>151</v>
      </c>
      <c r="G8" s="6">
        <v>116</v>
      </c>
      <c r="H8" s="1" t="s">
        <v>167</v>
      </c>
      <c r="I8" s="1" t="s">
        <v>52</v>
      </c>
      <c r="J8" s="1" t="s">
        <v>108</v>
      </c>
      <c r="K8" s="1" t="s">
        <v>138</v>
      </c>
      <c r="L8" s="1" t="s">
        <v>137</v>
      </c>
      <c r="M8" s="8">
        <v>65000000</v>
      </c>
      <c r="N8" s="20"/>
      <c r="O8" s="23" t="s">
        <v>832</v>
      </c>
      <c r="P8" s="1" t="str">
        <f t="shared" si="0"/>
        <v>INSERT INTO MOVIES (MOVIE_ID, POSTER_URL, TITLE, MOVIE_RATING, OPEN_DATE, OPEN_COUNTRY, RUNNING_TIME, INTRODUCE, SYNOPSIS, ORIGNAL_TITLE, STATE, LANGUAGE, BUDGET, PROFIT) VALUES ('MV-' || TO_CHAR(SYSDATE, 'YYYYMMDD-') || LPAD(SEQ_MOVIES_PK.NEXTVAL, 6, 6), '익스트렉션 URL', '익스트랙션', '19', ''TO_DATE('2020.04.24', 'YYYY.MM.DD')', 'KR', '116', ' When the mission ends, redemption begins', '어떤 일에도 쉽게 동요하지 않는 냉철한 청부업자. 그가 살아남기 위해 자신을 끊임없이 성찰한다. 마약왕의 납치된 아들을 구하러 간 방글라데시에서 그 모든 것이 시작됐다.', 'Extraction', '개봉됨', '영어', '65000000', 'NULL');</v>
      </c>
      <c r="Q8" s="1" t="s">
        <v>841</v>
      </c>
    </row>
    <row r="9" spans="1:18" x14ac:dyDescent="0.3">
      <c r="A9" s="4" t="s">
        <v>403</v>
      </c>
      <c r="B9" s="5" t="s">
        <v>111</v>
      </c>
      <c r="C9" s="5">
        <v>1917</v>
      </c>
      <c r="D9" s="6">
        <v>15</v>
      </c>
      <c r="E9" s="1" t="s">
        <v>107</v>
      </c>
      <c r="F9" s="6" t="s">
        <v>151</v>
      </c>
      <c r="G9" s="6">
        <v>119</v>
      </c>
      <c r="H9" s="1" t="s">
        <v>226</v>
      </c>
      <c r="I9" s="1" t="s">
        <v>46</v>
      </c>
      <c r="J9" s="20"/>
      <c r="K9" s="1" t="s">
        <v>138</v>
      </c>
      <c r="L9" s="1" t="s">
        <v>137</v>
      </c>
      <c r="M9" s="8">
        <v>100000000</v>
      </c>
      <c r="N9" s="8">
        <v>446064352</v>
      </c>
      <c r="O9" s="23" t="s">
        <v>833</v>
      </c>
      <c r="P9" s="1" t="str">
        <f t="shared" si="0"/>
        <v>INSERT INTO MOVIES (MOVIE_ID, POSTER_URL, TITLE, MOVIE_RATING, OPEN_DATE, OPEN_COUNTRY, RUNNING_TIME, INTRODUCE, SYNOPSIS, ORIGNAL_TITLE, STATE, LANGUAGE, BUDGET, PROFIT) VALUES ('MV-' || TO_CHAR(SYSDATE, 'YYYYMMDD-') || LPAD(SEQ_MOVIES_PK.NEXTVAL, 6, 7), '1917 URL', '1917', '15', ''TO_DATE('2020.02.19', 'YYYY.MM.DD')', 'KR', '119', '그들이 싸워야 할 것은 적이 아니라 시간이었다', '제1차 세계대전이 한창인 1917년 4월 6일. 독일군에 의해 모든 통신망이 파괴된 상황 속에서 서부전선의 영국군 병사 스코필드와 블레이크에게 하나의 미션이 주어졌다. 독일군의 함정에 빠진 영국군 부대의 수장 매켄지 중령에게 에린무어 장군의 공격 중지 명령을 전달하라는 것. 블레이크는 데본셔 연대에 있는 형을 구하기 위해 기꺼이 임무를 수행한다. 동료인 스코필드는 처음엔 당황스러워하지만 이내 1600명의 동료들을 구하기 위해 전쟁터 한가운데를 가로지르는 여정에 동참한다.', '', '개봉됨', '영어', '100000000', '446064352');</v>
      </c>
      <c r="Q9" s="1" t="s">
        <v>842</v>
      </c>
    </row>
    <row r="10" spans="1:18" x14ac:dyDescent="0.3">
      <c r="A10" s="4" t="s">
        <v>404</v>
      </c>
      <c r="B10" s="5" t="s">
        <v>112</v>
      </c>
      <c r="C10" s="5" t="s">
        <v>158</v>
      </c>
      <c r="D10" s="6">
        <v>12</v>
      </c>
      <c r="E10" s="1" t="s">
        <v>114</v>
      </c>
      <c r="F10" s="6" t="s">
        <v>151</v>
      </c>
      <c r="G10" s="6">
        <v>148</v>
      </c>
      <c r="H10" s="1" t="s">
        <v>191</v>
      </c>
      <c r="I10" s="1" t="s">
        <v>126</v>
      </c>
      <c r="J10" s="1" t="s">
        <v>115</v>
      </c>
      <c r="K10" s="1" t="s">
        <v>138</v>
      </c>
      <c r="L10" s="1" t="s">
        <v>137</v>
      </c>
      <c r="M10" s="8">
        <v>160000000</v>
      </c>
      <c r="N10" s="8">
        <v>839030630</v>
      </c>
      <c r="O10" s="23" t="s">
        <v>834</v>
      </c>
      <c r="P10" s="1" t="str">
        <f t="shared" si="0"/>
        <v>INSERT INTO MOVIES (MOVIE_ID, POSTER_URL, TITLE, MOVIE_RATING, OPEN_DATE, OPEN_COUNTRY, RUNNING_TIME, INTRODUCE, SYNOPSIS, ORIGNAL_TITLE, STATE, LANGUAGE, BUDGET, PROFIT) VALUES ('MV-' || TO_CHAR(SYSDATE, 'YYYYMMDD-') || LPAD(SEQ_MOVIES_PK.NEXTVAL, 6, 8), '인셉션 URL ', '인셉션', '12', ''TO_DATE('2010.07.21', 'YYYY.MM.DD')', 'KR', '148', '생각을 훔치는 거대한 전쟁', '타인의 꿈에 들어가 생각을 훔치는 특수 보안요원 코브. 그를 이용해 라이벌 기업의 정보를 빼내고자 하는 사이토는 코브에게 생각을 훔치는 것이 아닌, 생각을 심는 ‘인셉션’ 작전을 제안한다. 성공 조건으로 국제적인 수배자가 되어있는 코브의 신분을 바꿔주겠다는 거부할 수 없는 제안을 하고, 사랑하는 아이들에게 돌아가기 위해 그 제안을 받아들인다. 최강의 팀을 구성, 표적인 피셔에게 접근해서 ‘인셉션’ 작전을 실행하지만 예기치 못한 사건들과 마주하게 되는데… 꿈 VS 현실! 시간, 규칙, 타이밍 모든 것이 완벽해야만 하는, 단 한 번도 성공한 적 없는 ‘인셉션’ 작전이 시작된다!', 'Inception', '개봉됨', '영어', '160000000', '839030630');</v>
      </c>
      <c r="Q10" s="1" t="s">
        <v>843</v>
      </c>
    </row>
    <row r="11" spans="1:18" x14ac:dyDescent="0.3">
      <c r="A11" s="4" t="s">
        <v>400</v>
      </c>
      <c r="B11" s="5" t="s">
        <v>301</v>
      </c>
      <c r="C11" s="5" t="s">
        <v>160</v>
      </c>
      <c r="D11" s="6">
        <v>19</v>
      </c>
      <c r="E11" s="1" t="s">
        <v>87</v>
      </c>
      <c r="F11" s="6" t="s">
        <v>151</v>
      </c>
      <c r="G11" s="6">
        <v>101</v>
      </c>
      <c r="H11" s="1" t="s">
        <v>207</v>
      </c>
      <c r="I11" s="1" t="s">
        <v>44</v>
      </c>
      <c r="J11" s="1" t="s">
        <v>95</v>
      </c>
      <c r="K11" s="1" t="s">
        <v>138</v>
      </c>
      <c r="L11" s="1" t="s">
        <v>137</v>
      </c>
      <c r="M11" s="8">
        <v>20000000</v>
      </c>
      <c r="N11" s="8">
        <v>88761661</v>
      </c>
      <c r="O11" s="23" t="s">
        <v>835</v>
      </c>
      <c r="P11" s="1" t="str">
        <f t="shared" si="0"/>
        <v>INSERT INTO MOVIES (MOVIE_ID, POSTER_URL, TITLE, MOVIE_RATING, OPEN_DATE, OPEN_COUNTRY, RUNNING_TIME, INTRODUCE, SYNOPSIS, ORIGNAL_TITLE, STATE, LANGUAGE, BUDGET, PROFIT) VALUES ('MV-' || TO_CHAR(SYSDATE, 'YYYYMMDD-') || LPAD(SEQ_MOVIES_PK.NEXTVAL, 6, 9), '존 윅 URL', '존 윅', '19', ''TO_DATE('2015.01.21', 'YYYY.MM.DD')', 'KR', '101', '그를 건드리지 말았어야 했다', '전설이라 불리던 킬러 존 윅은 사랑하는 여인을 만나 결혼을 하면서 범죄의 세계에서 은퇴한다. 행복도 잠시, 투병 끝에 부인이 세상을 떠나고 그의 앞으로 부인이 죽기 전에 보낸 강아지 한 마리가 선물로 배달된다. 어느 날 그의 차를 탐낸 러시아 마피아의 일원 요세프가 존 윅을 폭행하고 애완견 데이지마저 죽여버리는 일이 벌어진다. 그런데 요세프는 과거 존 윅을 고용한 적 있는 러시아 마피아 보스 비고의 아들이다. 마지막 남은 애완견마저 잃은 존 윅은 이제 그만의 방식으로 복수를 시작하는데...', 'John Wick', '개봉됨', '영어', '20000000', '88761661');</v>
      </c>
      <c r="Q11" s="1" t="s">
        <v>844</v>
      </c>
    </row>
    <row r="13" spans="1:18" ht="17.25" x14ac:dyDescent="0.3">
      <c r="A13" s="24" t="s">
        <v>572</v>
      </c>
      <c r="O13" s="23"/>
    </row>
    <row r="14" spans="1:18" x14ac:dyDescent="0.3">
      <c r="A14" s="25" t="s">
        <v>573</v>
      </c>
      <c r="F14" s="28"/>
      <c r="O14" s="23"/>
    </row>
    <row r="15" spans="1:18" ht="17.25" x14ac:dyDescent="0.3">
      <c r="A15" s="26" t="s">
        <v>574</v>
      </c>
      <c r="O15" s="23"/>
    </row>
    <row r="16" spans="1:18" ht="17.25" x14ac:dyDescent="0.3">
      <c r="A16" s="26" t="s">
        <v>575</v>
      </c>
      <c r="O16" s="23"/>
    </row>
    <row r="17" spans="1:15" ht="17.25" x14ac:dyDescent="0.3">
      <c r="A17" s="26" t="s">
        <v>576</v>
      </c>
      <c r="O17" s="23"/>
    </row>
    <row r="18" spans="1:15" x14ac:dyDescent="0.3">
      <c r="A18" s="25" t="s">
        <v>577</v>
      </c>
      <c r="O18" s="23"/>
    </row>
    <row r="19" spans="1:15" x14ac:dyDescent="0.3">
      <c r="A19" s="25" t="s">
        <v>578</v>
      </c>
      <c r="O19" s="23"/>
    </row>
    <row r="20" spans="1:15" ht="17.25" x14ac:dyDescent="0.3">
      <c r="A20" s="26" t="s">
        <v>579</v>
      </c>
      <c r="O20" s="23"/>
    </row>
    <row r="21" spans="1:15" x14ac:dyDescent="0.3">
      <c r="A21" s="25" t="s">
        <v>580</v>
      </c>
      <c r="O21" s="23"/>
    </row>
    <row r="22" spans="1:15" x14ac:dyDescent="0.3">
      <c r="A22" s="25" t="s">
        <v>581</v>
      </c>
      <c r="O22" s="23"/>
    </row>
    <row r="23" spans="1:15" ht="17.25" x14ac:dyDescent="0.3">
      <c r="A23" s="26" t="s">
        <v>582</v>
      </c>
    </row>
    <row r="24" spans="1:15" x14ac:dyDescent="0.3">
      <c r="A24" s="25" t="s">
        <v>583</v>
      </c>
    </row>
    <row r="25" spans="1:15" x14ac:dyDescent="0.3">
      <c r="A25" s="25" t="s">
        <v>584</v>
      </c>
      <c r="N25" s="23"/>
    </row>
    <row r="26" spans="1:15" x14ac:dyDescent="0.3">
      <c r="A26" s="25" t="s">
        <v>585</v>
      </c>
      <c r="N26" s="23"/>
    </row>
    <row r="27" spans="1:15" x14ac:dyDescent="0.3">
      <c r="N27" s="23"/>
    </row>
  </sheetData>
  <phoneticPr fontId="5" type="noConversion"/>
  <pageMargins left="0.69999998807907104" right="0.69999998807907104" top="0.75" bottom="0.75" header="0.30000001192092896" footer="0.30000001192092896"/>
  <pageSetup paperSize="9"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J82"/>
  <sheetViews>
    <sheetView zoomScaleNormal="100" zoomScaleSheetLayoutView="75" workbookViewId="0">
      <selection activeCell="B1" sqref="B1:B1048576"/>
    </sheetView>
  </sheetViews>
  <sheetFormatPr defaultColWidth="8.75" defaultRowHeight="16.5" x14ac:dyDescent="0.3"/>
  <cols>
    <col min="1" max="1" width="18.875" bestFit="1" customWidth="1"/>
    <col min="2" max="2" width="19.875" bestFit="1" customWidth="1"/>
    <col min="3" max="3" width="10.75" bestFit="1" customWidth="1"/>
    <col min="10" max="10" width="16.25" bestFit="1" customWidth="1"/>
  </cols>
  <sheetData>
    <row r="1" spans="1:10" ht="17.25" x14ac:dyDescent="0.3">
      <c r="A1" s="9" t="s">
        <v>38</v>
      </c>
      <c r="B1" t="s">
        <v>264</v>
      </c>
      <c r="C1" t="s">
        <v>262</v>
      </c>
      <c r="D1" s="27" t="s">
        <v>586</v>
      </c>
      <c r="J1" s="24"/>
    </row>
    <row r="2" spans="1:10" x14ac:dyDescent="0.3">
      <c r="A2" s="9" t="s">
        <v>420</v>
      </c>
      <c r="B2" t="s">
        <v>253</v>
      </c>
      <c r="C2" t="s">
        <v>258</v>
      </c>
      <c r="D2" t="str">
        <f>$D$1 &amp; _xlfn.TEXTJOIN("','",FALSE,B2:C2) &amp; "');"</f>
        <v>INSERT INTO ACTORS (ACTOR_ID, ACTOR_NAME, PROFILE_PIC) VALUES ('AC-' || TO_CHAR(SYSDATE, 'YYYYMMDD-') || LPAD(SEQ_ACTORS_PK.NEXTVAL, 6, 0), '아덴 조','배우사진');</v>
      </c>
      <c r="E2" t="s">
        <v>587</v>
      </c>
      <c r="J2" s="25"/>
    </row>
    <row r="3" spans="1:10" x14ac:dyDescent="0.3">
      <c r="A3" s="9" t="s">
        <v>427</v>
      </c>
      <c r="B3" t="s">
        <v>260</v>
      </c>
      <c r="C3" t="s">
        <v>258</v>
      </c>
      <c r="D3" t="str">
        <f t="shared" ref="D3:E66" si="0">$D$1 &amp; _xlfn.TEXTJOIN("','",FALSE,B3:C3) &amp; "');"</f>
        <v>INSERT INTO ACTORS (ACTOR_ID, ACTOR_NAME, PROFILE_PIC) VALUES ('AC-' || TO_CHAR(SYSDATE, 'YYYYMMDD-') || LPAD(SEQ_ACTORS_PK.NEXTVAL, 6, 0), '메이 홍 ','배우사진');</v>
      </c>
      <c r="E3" t="s">
        <v>588</v>
      </c>
      <c r="J3" s="25"/>
    </row>
    <row r="4" spans="1:10" x14ac:dyDescent="0.3">
      <c r="A4" s="9" t="s">
        <v>432</v>
      </c>
      <c r="B4" t="s">
        <v>139</v>
      </c>
      <c r="C4" t="s">
        <v>258</v>
      </c>
      <c r="D4" t="str">
        <f t="shared" si="0"/>
        <v>INSERT INTO ACTORS (ACTOR_ID, ACTOR_NAME, PROFILE_PIC) VALUES ('AC-' || TO_CHAR(SYSDATE, 'YYYYMMDD-') || LPAD(SEQ_ACTORS_PK.NEXTVAL, 6, 0), '유지영','배우사진');</v>
      </c>
      <c r="E4" t="s">
        <v>589</v>
      </c>
    </row>
    <row r="5" spans="1:10" x14ac:dyDescent="0.3">
      <c r="A5" s="9" t="s">
        <v>440</v>
      </c>
      <c r="B5" t="s">
        <v>148</v>
      </c>
      <c r="C5" t="s">
        <v>258</v>
      </c>
      <c r="D5" t="str">
        <f t="shared" si="0"/>
        <v>INSERT INTO ACTORS (ACTOR_ID, ACTOR_NAME, PROFILE_PIC) VALUES ('AC-' || TO_CHAR(SYSDATE, 'YYYYMMDD-') || LPAD(SEQ_ACTORS_PK.NEXTVAL, 6, 0), '안효섭','배우사진');</v>
      </c>
      <c r="E5" t="s">
        <v>590</v>
      </c>
    </row>
    <row r="6" spans="1:10" x14ac:dyDescent="0.3">
      <c r="A6" s="9" t="s">
        <v>433</v>
      </c>
      <c r="B6" t="s">
        <v>140</v>
      </c>
      <c r="C6" t="s">
        <v>258</v>
      </c>
      <c r="D6" t="str">
        <f t="shared" si="0"/>
        <v>INSERT INTO ACTORS (ACTOR_ID, ACTOR_NAME, PROFILE_PIC) VALUES ('AC-' || TO_CHAR(SYSDATE, 'YYYYMMDD-') || LPAD(SEQ_ACTORS_PK.NEXTVAL, 6, 0), '김윤진','배우사진');</v>
      </c>
      <c r="E6" t="s">
        <v>591</v>
      </c>
    </row>
    <row r="7" spans="1:10" x14ac:dyDescent="0.3">
      <c r="A7" s="9" t="s">
        <v>426</v>
      </c>
      <c r="B7" t="s">
        <v>154</v>
      </c>
      <c r="C7" t="s">
        <v>258</v>
      </c>
      <c r="D7" t="str">
        <f t="shared" si="0"/>
        <v>INSERT INTO ACTORS (ACTOR_ID, ACTOR_NAME, PROFILE_PIC) VALUES ('AC-' || TO_CHAR(SYSDATE, 'YYYYMMDD-') || LPAD(SEQ_ACTORS_PK.NEXTVAL, 6, 0), '켄 정','배우사진');</v>
      </c>
      <c r="E7" t="s">
        <v>592</v>
      </c>
    </row>
    <row r="8" spans="1:10" x14ac:dyDescent="0.3">
      <c r="A8" s="9" t="s">
        <v>428</v>
      </c>
      <c r="B8" t="s">
        <v>252</v>
      </c>
      <c r="C8" t="s">
        <v>258</v>
      </c>
      <c r="D8" t="str">
        <f t="shared" si="0"/>
        <v>INSERT INTO ACTORS (ACTOR_ID, ACTOR_NAME, PROFILE_PIC) VALUES ('AC-' || TO_CHAR(SYSDATE, 'YYYYMMDD-') || LPAD(SEQ_ACTORS_PK.NEXTVAL, 6, 0), '이병헌 ','배우사진');</v>
      </c>
      <c r="E8" t="s">
        <v>593</v>
      </c>
    </row>
    <row r="9" spans="1:10" x14ac:dyDescent="0.3">
      <c r="A9" s="9" t="s">
        <v>424</v>
      </c>
      <c r="B9" t="s">
        <v>269</v>
      </c>
      <c r="C9" t="s">
        <v>258</v>
      </c>
      <c r="D9" t="str">
        <f t="shared" si="0"/>
        <v>INSERT INTO ACTORS (ACTOR_ID, ACTOR_NAME, PROFILE_PIC) VALUES ('AC-' || TO_CHAR(SYSDATE, 'YYYYMMDD-') || LPAD(SEQ_ACTORS_PK.NEXTVAL, 6, 0), '다니엘 대 킴','배우사진');</v>
      </c>
      <c r="E9" t="s">
        <v>594</v>
      </c>
    </row>
    <row r="10" spans="1:10" x14ac:dyDescent="0.3">
      <c r="A10" s="9" t="s">
        <v>434</v>
      </c>
      <c r="B10" t="s">
        <v>97</v>
      </c>
      <c r="C10" t="s">
        <v>258</v>
      </c>
      <c r="D10" t="str">
        <f t="shared" si="0"/>
        <v>INSERT INTO ACTORS (ACTOR_ID, ACTOR_NAME, PROFILE_PIC) VALUES ('AC-' || TO_CHAR(SYSDATE, 'YYYYMMDD-') || LPAD(SEQ_ACTORS_PK.NEXTVAL, 6, 0), '조엘 김 부스터','배우사진');</v>
      </c>
      <c r="E10" t="s">
        <v>595</v>
      </c>
    </row>
    <row r="11" spans="1:10" x14ac:dyDescent="0.3">
      <c r="A11" s="9" t="s">
        <v>435</v>
      </c>
      <c r="B11" t="s">
        <v>270</v>
      </c>
      <c r="C11" t="s">
        <v>258</v>
      </c>
      <c r="D11" t="str">
        <f t="shared" si="0"/>
        <v>INSERT INTO ACTORS (ACTOR_ID, ACTOR_NAME, PROFILE_PIC) VALUES ('AC-' || TO_CHAR(SYSDATE, 'YYYYMMDD-') || LPAD(SEQ_ACTORS_PK.NEXTVAL, 6, 0), '조지 해리슨','배우사진');</v>
      </c>
      <c r="E11" t="s">
        <v>596</v>
      </c>
    </row>
    <row r="12" spans="1:10" x14ac:dyDescent="0.3">
      <c r="A12" s="9" t="s">
        <v>437</v>
      </c>
      <c r="B12" t="s">
        <v>271</v>
      </c>
      <c r="C12" t="s">
        <v>258</v>
      </c>
      <c r="D12" t="str">
        <f t="shared" si="0"/>
        <v>INSERT INTO ACTORS (ACTOR_ID, ACTOR_NAME, PROFILE_PIC) VALUES ('AC-' || TO_CHAR(SYSDATE, 'YYYYMMDD-') || LPAD(SEQ_ACTORS_PK.NEXTVAL, 6, 0), '존 레논','배우사진');</v>
      </c>
      <c r="E12" t="s">
        <v>597</v>
      </c>
    </row>
    <row r="13" spans="1:10" x14ac:dyDescent="0.3">
      <c r="A13" s="9" t="s">
        <v>425</v>
      </c>
      <c r="B13" t="s">
        <v>272</v>
      </c>
      <c r="C13" t="s">
        <v>258</v>
      </c>
      <c r="D13" t="str">
        <f t="shared" si="0"/>
        <v>INSERT INTO ACTORS (ACTOR_ID, ACTOR_NAME, PROFILE_PIC) VALUES ('AC-' || TO_CHAR(SYSDATE, 'YYYYMMDD-') || LPAD(SEQ_ACTORS_PK.NEXTVAL, 6, 0), '폴 매카트니','배우사진');</v>
      </c>
      <c r="E13" t="s">
        <v>598</v>
      </c>
    </row>
    <row r="14" spans="1:10" x14ac:dyDescent="0.3">
      <c r="A14" s="9" t="s">
        <v>429</v>
      </c>
      <c r="B14" t="s">
        <v>263</v>
      </c>
      <c r="C14" t="s">
        <v>258</v>
      </c>
      <c r="D14" t="str">
        <f t="shared" si="0"/>
        <v>INSERT INTO ACTORS (ACTOR_ID, ACTOR_NAME, PROFILE_PIC) VALUES ('AC-' || TO_CHAR(SYSDATE, 'YYYYMMDD-') || LPAD(SEQ_ACTORS_PK.NEXTVAL, 6, 0), '링고 스타','배우사진');</v>
      </c>
      <c r="E14" t="s">
        <v>599</v>
      </c>
    </row>
    <row r="15" spans="1:10" x14ac:dyDescent="0.3">
      <c r="A15" s="9" t="s">
        <v>430</v>
      </c>
      <c r="B15" t="s">
        <v>99</v>
      </c>
      <c r="C15" t="s">
        <v>258</v>
      </c>
      <c r="D15" t="str">
        <f t="shared" si="0"/>
        <v>INSERT INTO ACTORS (ACTOR_ID, ACTOR_NAME, PROFILE_PIC) VALUES ('AC-' || TO_CHAR(SYSDATE, 'YYYYMMDD-') || LPAD(SEQ_ACTORS_PK.NEXTVAL, 6, 0), 'Leo McKern','배우사진');</v>
      </c>
      <c r="E15" t="s">
        <v>600</v>
      </c>
    </row>
    <row r="16" spans="1:10" x14ac:dyDescent="0.3">
      <c r="A16" s="9" t="s">
        <v>431</v>
      </c>
      <c r="B16" t="s">
        <v>177</v>
      </c>
      <c r="C16" t="s">
        <v>258</v>
      </c>
      <c r="D16" t="str">
        <f t="shared" si="0"/>
        <v>INSERT INTO ACTORS (ACTOR_ID, ACTOR_NAME, PROFILE_PIC) VALUES ('AC-' || TO_CHAR(SYSDATE, 'YYYYMMDD-') || LPAD(SEQ_ACTORS_PK.NEXTVAL, 6, 0), 'Eleanor Bron ','배우사진');</v>
      </c>
      <c r="E16" t="s">
        <v>601</v>
      </c>
    </row>
    <row r="17" spans="1:5" x14ac:dyDescent="0.3">
      <c r="A17" s="9" t="s">
        <v>436</v>
      </c>
      <c r="B17" t="s">
        <v>176</v>
      </c>
      <c r="C17" t="s">
        <v>258</v>
      </c>
      <c r="D17" t="str">
        <f t="shared" si="0"/>
        <v>INSERT INTO ACTORS (ACTOR_ID, ACTOR_NAME, PROFILE_PIC) VALUES ('AC-' || TO_CHAR(SYSDATE, 'YYYYMMDD-') || LPAD(SEQ_ACTORS_PK.NEXTVAL, 6, 0), 'Victor Spinetti','배우사진');</v>
      </c>
      <c r="E17" t="s">
        <v>602</v>
      </c>
    </row>
    <row r="18" spans="1:5" x14ac:dyDescent="0.3">
      <c r="A18" s="9" t="s">
        <v>438</v>
      </c>
      <c r="B18" t="s">
        <v>98</v>
      </c>
      <c r="C18" t="s">
        <v>258</v>
      </c>
      <c r="D18" t="str">
        <f t="shared" si="0"/>
        <v>INSERT INTO ACTORS (ACTOR_ID, ACTOR_NAME, PROFILE_PIC) VALUES ('AC-' || TO_CHAR(SYSDATE, 'YYYYMMDD-') || LPAD(SEQ_ACTORS_PK.NEXTVAL, 6, 0), 'Roy Kinnear','배우사진');</v>
      </c>
      <c r="E18" t="s">
        <v>603</v>
      </c>
    </row>
    <row r="19" spans="1:5" x14ac:dyDescent="0.3">
      <c r="A19" s="9" t="s">
        <v>439</v>
      </c>
      <c r="B19" t="s">
        <v>195</v>
      </c>
      <c r="C19" t="s">
        <v>258</v>
      </c>
      <c r="D19" t="str">
        <f t="shared" si="0"/>
        <v>INSERT INTO ACTORS (ACTOR_ID, ACTOR_NAME, PROFILE_PIC) VALUES ('AC-' || TO_CHAR(SYSDATE, 'YYYYMMDD-') || LPAD(SEQ_ACTORS_PK.NEXTVAL, 6, 0), 'John Bluthal','배우사진');</v>
      </c>
      <c r="E19" t="s">
        <v>604</v>
      </c>
    </row>
    <row r="20" spans="1:5" x14ac:dyDescent="0.3">
      <c r="A20" s="9" t="s">
        <v>350</v>
      </c>
      <c r="B20" t="s">
        <v>109</v>
      </c>
      <c r="C20" t="s">
        <v>258</v>
      </c>
      <c r="D20" t="str">
        <f t="shared" si="0"/>
        <v>INSERT INTO ACTORS (ACTOR_ID, ACTOR_NAME, PROFILE_PIC) VALUES ('AC-' || TO_CHAR(SYSDATE, 'YYYYMMDD-') || LPAD(SEQ_ACTORS_PK.NEXTVAL, 6, 0), '토야 키쿠노스케 ','배우사진');</v>
      </c>
      <c r="E20" t="s">
        <v>605</v>
      </c>
    </row>
    <row r="21" spans="1:5" x14ac:dyDescent="0.3">
      <c r="A21" s="9" t="s">
        <v>367</v>
      </c>
      <c r="B21" t="s">
        <v>281</v>
      </c>
      <c r="C21" t="s">
        <v>258</v>
      </c>
      <c r="D21" t="str">
        <f t="shared" si="0"/>
        <v>INSERT INTO ACTORS (ACTOR_ID, ACTOR_NAME, PROFILE_PIC) VALUES ('AC-' || TO_CHAR(SYSDATE, 'YYYYMMDD-') || LPAD(SEQ_ACTORS_PK.NEXTVAL, 6, 0), '우에다 레이나','배우사진');</v>
      </c>
      <c r="E21" t="s">
        <v>606</v>
      </c>
    </row>
    <row r="22" spans="1:5" x14ac:dyDescent="0.3">
      <c r="A22" s="9" t="s">
        <v>370</v>
      </c>
      <c r="B22" t="s">
        <v>117</v>
      </c>
      <c r="C22" t="s">
        <v>258</v>
      </c>
      <c r="D22" t="str">
        <f t="shared" si="0"/>
        <v>INSERT INTO ACTORS (ACTOR_ID, ACTOR_NAME, PROFILE_PIC) VALUES ('AC-' || TO_CHAR(SYSDATE, 'YYYYMMDD-') || LPAD(SEQ_ACTORS_PK.NEXTVAL, 6, 0), '쿠스노키 토모리','배우사진');</v>
      </c>
      <c r="E22" t="s">
        <v>607</v>
      </c>
    </row>
    <row r="23" spans="1:5" x14ac:dyDescent="0.3">
      <c r="A23" s="9" t="s">
        <v>351</v>
      </c>
      <c r="B23" t="s">
        <v>284</v>
      </c>
      <c r="C23" t="s">
        <v>258</v>
      </c>
      <c r="D23" t="str">
        <f t="shared" si="0"/>
        <v>INSERT INTO ACTORS (ACTOR_ID, ACTOR_NAME, PROFILE_PIC) VALUES ('AC-' || TO_CHAR(SYSDATE, 'YYYYMMDD-') || LPAD(SEQ_ACTORS_PK.NEXTVAL, 6, 0), '사카타 쇼고','배우사진');</v>
      </c>
      <c r="E23" t="s">
        <v>608</v>
      </c>
    </row>
    <row r="24" spans="1:5" x14ac:dyDescent="0.3">
      <c r="A24" s="9" t="s">
        <v>368</v>
      </c>
      <c r="B24" t="s">
        <v>287</v>
      </c>
      <c r="C24" t="s">
        <v>258</v>
      </c>
      <c r="D24" t="str">
        <f t="shared" si="0"/>
        <v>INSERT INTO ACTORS (ACTOR_ID, ACTOR_NAME, PROFILE_PIC) VALUES ('AC-' || TO_CHAR(SYSDATE, 'YYYYMMDD-') || LPAD(SEQ_ACTORS_PK.NEXTVAL, 6, 0), '우치다 마아야','배우사진');</v>
      </c>
      <c r="E24" t="s">
        <v>609</v>
      </c>
    </row>
    <row r="25" spans="1:5" x14ac:dyDescent="0.3">
      <c r="A25" s="9" t="s">
        <v>356</v>
      </c>
      <c r="B25" t="s">
        <v>290</v>
      </c>
      <c r="C25" t="s">
        <v>258</v>
      </c>
      <c r="D25" t="str">
        <f t="shared" si="0"/>
        <v>INSERT INTO ACTORS (ACTOR_ID, ACTOR_NAME, PROFILE_PIC) VALUES ('AC-' || TO_CHAR(SYSDATE, 'YYYYMMDD-') || LPAD(SEQ_ACTORS_PK.NEXTVAL, 6, 0), '하나에 나츠키','배우사진');</v>
      </c>
      <c r="E25" t="s">
        <v>610</v>
      </c>
    </row>
    <row r="26" spans="1:5" x14ac:dyDescent="0.3">
      <c r="A26" s="9" t="s">
        <v>359</v>
      </c>
      <c r="B26" t="s">
        <v>282</v>
      </c>
      <c r="C26" t="s">
        <v>258</v>
      </c>
      <c r="D26" t="str">
        <f t="shared" si="0"/>
        <v>INSERT INTO ACTORS (ACTOR_ID, ACTOR_NAME, PROFILE_PIC) VALUES ('AC-' || TO_CHAR(SYSDATE, 'YYYYMMDD-') || LPAD(SEQ_ACTORS_PK.NEXTVAL, 6, 0), '타카하시 카린','배우사진');</v>
      </c>
      <c r="E26" t="s">
        <v>611</v>
      </c>
    </row>
    <row r="27" spans="1:5" x14ac:dyDescent="0.3">
      <c r="A27" s="9" t="s">
        <v>348</v>
      </c>
      <c r="B27" t="s">
        <v>293</v>
      </c>
      <c r="C27" t="s">
        <v>258</v>
      </c>
      <c r="D27" t="str">
        <f t="shared" si="0"/>
        <v>INSERT INTO ACTORS (ACTOR_ID, ACTOR_NAME, PROFILE_PIC) VALUES ('AC-' || TO_CHAR(SYSDATE, 'YYYYMMDD-') || LPAD(SEQ_ACTORS_PK.NEXTVAL, 6, 0), '파이루즈 아이','배우사진');</v>
      </c>
      <c r="E27" t="s">
        <v>612</v>
      </c>
    </row>
    <row r="28" spans="1:5" x14ac:dyDescent="0.3">
      <c r="A28" s="9" t="s">
        <v>357</v>
      </c>
      <c r="B28" t="s">
        <v>292</v>
      </c>
      <c r="C28" t="s">
        <v>258</v>
      </c>
      <c r="D28" t="str">
        <f t="shared" si="0"/>
        <v>INSERT INTO ACTORS (ACTOR_ID, ACTOR_NAME, PROFILE_PIC) VALUES ('AC-' || TO_CHAR(SYSDATE, 'YYYYMMDD-') || LPAD(SEQ_ACTORS_PK.NEXTVAL, 6, 0), '우치다 유우야','배우사진');</v>
      </c>
      <c r="E28" t="s">
        <v>613</v>
      </c>
    </row>
    <row r="29" spans="1:5" x14ac:dyDescent="0.3">
      <c r="A29" s="9" t="s">
        <v>358</v>
      </c>
      <c r="B29" t="s">
        <v>174</v>
      </c>
      <c r="C29" s="21"/>
      <c r="D29" t="str">
        <f t="shared" si="0"/>
        <v>INSERT INTO ACTORS (ACTOR_ID, ACTOR_NAME, PROFILE_PIC) VALUES ('AC-' || TO_CHAR(SYSDATE, 'YYYYMMDD-') || LPAD(SEQ_ACTORS_PK.NEXTVAL, 6, 0), 'David Miller','');</v>
      </c>
      <c r="E29" t="s">
        <v>614</v>
      </c>
    </row>
    <row r="30" spans="1:5" x14ac:dyDescent="0.3">
      <c r="A30" s="9" t="s">
        <v>360</v>
      </c>
      <c r="B30" t="s">
        <v>185</v>
      </c>
      <c r="C30" s="21"/>
      <c r="D30" t="str">
        <f t="shared" si="0"/>
        <v>INSERT INTO ACTORS (ACTOR_ID, ACTOR_NAME, PROFILE_PIC) VALUES ('AC-' || TO_CHAR(SYSDATE, 'YYYYMMDD-') || LPAD(SEQ_ACTORS_PK.NEXTVAL, 6, 0), 'George Wilson','');</v>
      </c>
      <c r="E30" t="s">
        <v>615</v>
      </c>
    </row>
    <row r="31" spans="1:5" x14ac:dyDescent="0.3">
      <c r="A31" s="9" t="s">
        <v>365</v>
      </c>
      <c r="B31" t="s">
        <v>186</v>
      </c>
      <c r="C31" s="21"/>
      <c r="D31" t="str">
        <f t="shared" si="0"/>
        <v>INSERT INTO ACTORS (ACTOR_ID, ACTOR_NAME, PROFILE_PIC) VALUES ('AC-' || TO_CHAR(SYSDATE, 'YYYYMMDD-') || LPAD(SEQ_ACTORS_PK.NEXTVAL, 6, 0), 'Sharon Taylor','');</v>
      </c>
      <c r="E31" t="s">
        <v>616</v>
      </c>
    </row>
    <row r="32" spans="1:5" x14ac:dyDescent="0.3">
      <c r="A32" s="9" t="s">
        <v>349</v>
      </c>
      <c r="B32" t="s">
        <v>72</v>
      </c>
      <c r="C32" s="21"/>
      <c r="D32" t="str">
        <f t="shared" si="0"/>
        <v>INSERT INTO ACTORS (ACTOR_ID, ACTOR_NAME, PROFILE_PIC) VALUES ('AC-' || TO_CHAR(SYSDATE, 'YYYYMMDD-') || LPAD(SEQ_ACTORS_PK.NEXTVAL, 6, 0), 'J. Stephen Peace','');</v>
      </c>
      <c r="E32" t="s">
        <v>617</v>
      </c>
    </row>
    <row r="33" spans="1:5" x14ac:dyDescent="0.3">
      <c r="A33" s="9" t="s">
        <v>353</v>
      </c>
      <c r="B33" t="s">
        <v>175</v>
      </c>
      <c r="C33" s="21"/>
      <c r="D33" t="str">
        <f t="shared" si="0"/>
        <v>INSERT INTO ACTORS (ACTOR_ID, ACTOR_NAME, PROFILE_PIC) VALUES ('AC-' || TO_CHAR(SYSDATE, 'YYYYMMDD-') || LPAD(SEQ_ACTORS_PK.NEXTVAL, 6, 0), 'Ernie Meyers','');</v>
      </c>
      <c r="E33" t="s">
        <v>618</v>
      </c>
    </row>
    <row r="34" spans="1:5" x14ac:dyDescent="0.3">
      <c r="A34" s="9" t="s">
        <v>361</v>
      </c>
      <c r="B34" t="s">
        <v>199</v>
      </c>
      <c r="C34" t="s">
        <v>258</v>
      </c>
      <c r="D34" t="str">
        <f t="shared" si="0"/>
        <v>INSERT INTO ACTORS (ACTOR_ID, ACTOR_NAME, PROFILE_PIC) VALUES ('AC-' || TO_CHAR(SYSDATE, 'YYYYMMDD-') || LPAD(SEQ_ACTORS_PK.NEXTVAL, 6, 0), 'Eric Christmas','배우사진');</v>
      </c>
      <c r="E34" t="s">
        <v>619</v>
      </c>
    </row>
    <row r="35" spans="1:5" x14ac:dyDescent="0.3">
      <c r="A35" s="9" t="s">
        <v>362</v>
      </c>
      <c r="B35" t="s">
        <v>119</v>
      </c>
      <c r="C35" t="s">
        <v>258</v>
      </c>
      <c r="D35" t="str">
        <f t="shared" si="0"/>
        <v>INSERT INTO ACTORS (ACTOR_ID, ACTOR_NAME, PROFILE_PIC) VALUES ('AC-' || TO_CHAR(SYSDATE, 'YYYYMMDD-') || LPAD(SEQ_ACTORS_PK.NEXTVAL, 6, 0), 'Jack Riley','배우사진');</v>
      </c>
      <c r="E35" t="s">
        <v>620</v>
      </c>
    </row>
    <row r="36" spans="1:5" x14ac:dyDescent="0.3">
      <c r="A36" s="9" t="s">
        <v>363</v>
      </c>
      <c r="B36" t="s">
        <v>205</v>
      </c>
      <c r="C36" t="s">
        <v>258</v>
      </c>
      <c r="D36" t="str">
        <f t="shared" si="0"/>
        <v>INSERT INTO ACTORS (ACTOR_ID, ACTOR_NAME, PROFILE_PIC) VALUES ('AC-' || TO_CHAR(SYSDATE, 'YYYYMMDD-') || LPAD(SEQ_ACTORS_PK.NEXTVAL, 6, 0), 'Nigel Barber','배우사진');</v>
      </c>
      <c r="E36" t="s">
        <v>621</v>
      </c>
    </row>
    <row r="37" spans="1:5" x14ac:dyDescent="0.3">
      <c r="A37" s="9" t="s">
        <v>364</v>
      </c>
      <c r="B37" t="s">
        <v>198</v>
      </c>
      <c r="C37" t="s">
        <v>258</v>
      </c>
      <c r="D37" t="str">
        <f t="shared" si="0"/>
        <v>INSERT INTO ACTORS (ACTOR_ID, ACTOR_NAME, PROFILE_PIC) VALUES ('AC-' || TO_CHAR(SYSDATE, 'YYYYMMDD-') || LPAD(SEQ_ACTORS_PK.NEXTVAL, 6, 0), 'John De Bello','배우사진');</v>
      </c>
      <c r="E37" t="s">
        <v>622</v>
      </c>
    </row>
    <row r="38" spans="1:5" x14ac:dyDescent="0.3">
      <c r="A38" s="9" t="s">
        <v>354</v>
      </c>
      <c r="B38" t="s">
        <v>286</v>
      </c>
      <c r="C38" t="s">
        <v>258</v>
      </c>
      <c r="D38" t="str">
        <f t="shared" si="0"/>
        <v>INSERT INTO ACTORS (ACTOR_ID, ACTOR_NAME, PROFILE_PIC) VALUES ('AC-' || TO_CHAR(SYSDATE, 'YYYYMMDD-') || LPAD(SEQ_ACTORS_PK.NEXTVAL, 6, 0), '브래드 피트','배우사진');</v>
      </c>
      <c r="E38" t="s">
        <v>623</v>
      </c>
    </row>
    <row r="39" spans="1:5" x14ac:dyDescent="0.3">
      <c r="A39" s="9" t="s">
        <v>382</v>
      </c>
      <c r="B39" t="s">
        <v>299</v>
      </c>
      <c r="C39" t="s">
        <v>258</v>
      </c>
      <c r="D39" t="str">
        <f t="shared" si="0"/>
        <v>INSERT INTO ACTORS (ACTOR_ID, ACTOR_NAME, PROFILE_PIC) VALUES ('AC-' || TO_CHAR(SYSDATE, 'YYYYMMDD-') || LPAD(SEQ_ACTORS_PK.NEXTVAL, 6, 0), '멜라니 로랑','배우사진');</v>
      </c>
      <c r="E39" t="s">
        <v>624</v>
      </c>
    </row>
    <row r="40" spans="1:5" x14ac:dyDescent="0.3">
      <c r="A40" s="9" t="s">
        <v>371</v>
      </c>
      <c r="B40" t="s">
        <v>124</v>
      </c>
      <c r="C40" t="s">
        <v>258</v>
      </c>
      <c r="D40" t="str">
        <f t="shared" si="0"/>
        <v>INSERT INTO ACTORS (ACTOR_ID, ACTOR_NAME, PROFILE_PIC) VALUES ('AC-' || TO_CHAR(SYSDATE, 'YYYYMMDD-') || LPAD(SEQ_ACTORS_PK.NEXTVAL, 6, 0), '크리스토프 발츠','배우사진');</v>
      </c>
      <c r="E40" t="s">
        <v>625</v>
      </c>
    </row>
    <row r="41" spans="1:5" x14ac:dyDescent="0.3">
      <c r="A41" s="9" t="s">
        <v>384</v>
      </c>
      <c r="B41" t="s">
        <v>295</v>
      </c>
      <c r="C41" t="s">
        <v>258</v>
      </c>
      <c r="D41" t="str">
        <f t="shared" si="0"/>
        <v>INSERT INTO ACTORS (ACTOR_ID, ACTOR_NAME, PROFILE_PIC) VALUES ('AC-' || TO_CHAR(SYSDATE, 'YYYYMMDD-') || LPAD(SEQ_ACTORS_PK.NEXTVAL, 6, 0), '일라이 로스','배우사진');</v>
      </c>
      <c r="E41" t="s">
        <v>626</v>
      </c>
    </row>
    <row r="42" spans="1:5" x14ac:dyDescent="0.3">
      <c r="A42" s="9" t="s">
        <v>376</v>
      </c>
      <c r="B42" t="s">
        <v>122</v>
      </c>
      <c r="C42" t="s">
        <v>258</v>
      </c>
      <c r="D42" t="str">
        <f t="shared" si="0"/>
        <v>INSERT INTO ACTORS (ACTOR_ID, ACTOR_NAME, PROFILE_PIC) VALUES ('AC-' || TO_CHAR(SYSDATE, 'YYYYMMDD-') || LPAD(SEQ_ACTORS_PK.NEXTVAL, 6, 0), '마이클 패스벤더','배우사진');</v>
      </c>
      <c r="E42" t="s">
        <v>627</v>
      </c>
    </row>
    <row r="43" spans="1:5" x14ac:dyDescent="0.3">
      <c r="A43" s="9" t="s">
        <v>381</v>
      </c>
      <c r="B43" t="s">
        <v>296</v>
      </c>
      <c r="C43" t="s">
        <v>258</v>
      </c>
      <c r="D43" t="str">
        <f t="shared" si="0"/>
        <v>INSERT INTO ACTORS (ACTOR_ID, ACTOR_NAME, PROFILE_PIC) VALUES ('AC-' || TO_CHAR(SYSDATE, 'YYYYMMDD-') || LPAD(SEQ_ACTORS_PK.NEXTVAL, 6, 0), '다이앤 크루거','배우사진');</v>
      </c>
      <c r="E43" t="s">
        <v>628</v>
      </c>
    </row>
    <row r="44" spans="1:5" x14ac:dyDescent="0.3">
      <c r="A44" s="9" t="s">
        <v>375</v>
      </c>
      <c r="B44" t="s">
        <v>285</v>
      </c>
      <c r="C44" t="s">
        <v>258</v>
      </c>
      <c r="D44" t="str">
        <f t="shared" si="0"/>
        <v>INSERT INTO ACTORS (ACTOR_ID, ACTOR_NAME, PROFILE_PIC) VALUES ('AC-' || TO_CHAR(SYSDATE, 'YYYYMMDD-') || LPAD(SEQ_ACTORS_PK.NEXTVAL, 6, 0), '다니엘 브륄','배우사진');</v>
      </c>
      <c r="E44" t="s">
        <v>629</v>
      </c>
    </row>
    <row r="45" spans="1:5" x14ac:dyDescent="0.3">
      <c r="A45" s="9" t="s">
        <v>374</v>
      </c>
      <c r="B45" t="s">
        <v>297</v>
      </c>
      <c r="C45" t="s">
        <v>258</v>
      </c>
      <c r="D45" t="str">
        <f t="shared" si="0"/>
        <v>INSERT INTO ACTORS (ACTOR_ID, ACTOR_NAME, PROFILE_PIC) VALUES ('AC-' || TO_CHAR(SYSDATE, 'YYYYMMDD-') || LPAD(SEQ_ACTORS_PK.NEXTVAL, 6, 0), '틸 슈바이거','배우사진');</v>
      </c>
      <c r="E45" t="s">
        <v>630</v>
      </c>
    </row>
    <row r="46" spans="1:5" x14ac:dyDescent="0.3">
      <c r="A46" s="9" t="s">
        <v>383</v>
      </c>
      <c r="B46" t="s">
        <v>216</v>
      </c>
      <c r="C46" t="s">
        <v>258</v>
      </c>
      <c r="D46" t="str">
        <f t="shared" si="0"/>
        <v>INSERT INTO ACTORS (ACTOR_ID, ACTOR_NAME, PROFILE_PIC) VALUES ('AC-' || TO_CHAR(SYSDATE, 'YYYYMMDD-') || LPAD(SEQ_ACTORS_PK.NEXTVAL, 6, 0), 'Gedeon Burkhard','배우사진');</v>
      </c>
      <c r="E46" t="s">
        <v>631</v>
      </c>
    </row>
    <row r="47" spans="1:5" x14ac:dyDescent="0.3">
      <c r="A47" s="9" t="s">
        <v>377</v>
      </c>
      <c r="B47" t="s">
        <v>91</v>
      </c>
      <c r="C47" t="s">
        <v>258</v>
      </c>
      <c r="D47" t="str">
        <f t="shared" si="0"/>
        <v>INSERT INTO ACTORS (ACTOR_ID, ACTOR_NAME, PROFILE_PIC) VALUES ('AC-' || TO_CHAR(SYSDATE, 'YYYYMMDD-') || LPAD(SEQ_ACTORS_PK.NEXTVAL, 6, 0), '크리스 햄스워스','배우사진');</v>
      </c>
      <c r="E47" t="s">
        <v>632</v>
      </c>
    </row>
    <row r="48" spans="1:5" x14ac:dyDescent="0.3">
      <c r="A48" s="9" t="s">
        <v>385</v>
      </c>
      <c r="B48" t="s">
        <v>65</v>
      </c>
      <c r="C48" t="s">
        <v>258</v>
      </c>
      <c r="D48" t="str">
        <f t="shared" si="0"/>
        <v>INSERT INTO ACTORS (ACTOR_ID, ACTOR_NAME, PROFILE_PIC) VALUES ('AC-' || TO_CHAR(SYSDATE, 'YYYYMMDD-') || LPAD(SEQ_ACTORS_PK.NEXTVAL, 6, 0), 'Rudhraksh Jaiswal','배우사진');</v>
      </c>
      <c r="E48" t="s">
        <v>633</v>
      </c>
    </row>
    <row r="49" spans="1:5" x14ac:dyDescent="0.3">
      <c r="A49" s="9" t="s">
        <v>380</v>
      </c>
      <c r="B49" t="s">
        <v>221</v>
      </c>
      <c r="C49" t="s">
        <v>258</v>
      </c>
      <c r="D49" t="str">
        <f t="shared" si="0"/>
        <v>INSERT INTO ACTORS (ACTOR_ID, ACTOR_NAME, PROFILE_PIC) VALUES ('AC-' || TO_CHAR(SYSDATE, 'YYYYMMDD-') || LPAD(SEQ_ACTORS_PK.NEXTVAL, 6, 0), 'Randeep hooda','배우사진');</v>
      </c>
      <c r="E49" t="s">
        <v>634</v>
      </c>
    </row>
    <row r="50" spans="1:5" x14ac:dyDescent="0.3">
      <c r="A50" s="9" t="s">
        <v>378</v>
      </c>
      <c r="B50" t="s">
        <v>86</v>
      </c>
      <c r="C50" t="s">
        <v>258</v>
      </c>
      <c r="D50" t="str">
        <f t="shared" si="0"/>
        <v>INSERT INTO ACTORS (ACTOR_ID, ACTOR_NAME, PROFILE_PIC) VALUES ('AC-' || TO_CHAR(SYSDATE, 'YYYYMMDD-') || LPAD(SEQ_ACTORS_PK.NEXTVAL, 6, 0), '골쉬프테 파라하니','배우사진');</v>
      </c>
      <c r="E50" t="s">
        <v>635</v>
      </c>
    </row>
    <row r="51" spans="1:5" x14ac:dyDescent="0.3">
      <c r="A51" s="9" t="s">
        <v>386</v>
      </c>
      <c r="B51" t="s">
        <v>206</v>
      </c>
      <c r="C51" t="s">
        <v>258</v>
      </c>
      <c r="D51" t="str">
        <f t="shared" si="0"/>
        <v>INSERT INTO ACTORS (ACTOR_ID, ACTOR_NAME, PROFILE_PIC) VALUES ('AC-' || TO_CHAR(SYSDATE, 'YYYYMMDD-') || LPAD(SEQ_ACTORS_PK.NEXTVAL, 6, 0), 'Pankaj Tripathi','배우사진');</v>
      </c>
      <c r="E51" t="s">
        <v>636</v>
      </c>
    </row>
    <row r="52" spans="1:5" x14ac:dyDescent="0.3">
      <c r="A52" s="9" t="s">
        <v>388</v>
      </c>
      <c r="B52" t="s">
        <v>300</v>
      </c>
      <c r="C52" t="s">
        <v>258</v>
      </c>
      <c r="D52" t="str">
        <f t="shared" si="0"/>
        <v>INSERT INTO ACTORS (ACTOR_ID, ACTOR_NAME, PROFILE_PIC) VALUES ('AC-' || TO_CHAR(SYSDATE, 'YYYYMMDD-') || LPAD(SEQ_ACTORS_PK.NEXTVAL, 6, 0), '데이비드 하버','배우사진');</v>
      </c>
      <c r="E52" t="s">
        <v>637</v>
      </c>
    </row>
    <row r="53" spans="1:5" x14ac:dyDescent="0.3">
      <c r="A53" s="9" t="s">
        <v>373</v>
      </c>
      <c r="B53" t="s">
        <v>92</v>
      </c>
      <c r="C53" s="21"/>
      <c r="D53" t="str">
        <f t="shared" si="0"/>
        <v>INSERT INTO ACTORS (ACTOR_ID, ACTOR_NAME, PROFILE_PIC) VALUES ('AC-' || TO_CHAR(SYSDATE, 'YYYYMMDD-') || LPAD(SEQ_ACTORS_PK.NEXTVAL, 6, 0), 'Bryon Lerum','');</v>
      </c>
      <c r="E53" t="s">
        <v>638</v>
      </c>
    </row>
    <row r="54" spans="1:5" x14ac:dyDescent="0.3">
      <c r="A54" s="9" t="s">
        <v>379</v>
      </c>
      <c r="B54" t="s">
        <v>88</v>
      </c>
      <c r="C54" s="21"/>
      <c r="D54" t="str">
        <f t="shared" si="0"/>
        <v>INSERT INTO ACTORS (ACTOR_ID, ACTOR_NAME, PROFILE_PIC) VALUES ('AC-' || TO_CHAR(SYSDATE, 'YYYYMMDD-') || LPAD(SEQ_ACTORS_PK.NEXTVAL, 6, 0), 'Ryder Lerum','');</v>
      </c>
      <c r="E54" t="s">
        <v>639</v>
      </c>
    </row>
    <row r="55" spans="1:5" x14ac:dyDescent="0.3">
      <c r="A55" s="9" t="s">
        <v>387</v>
      </c>
      <c r="B55" t="s">
        <v>211</v>
      </c>
      <c r="C55" t="s">
        <v>258</v>
      </c>
      <c r="D55" t="str">
        <f t="shared" si="0"/>
        <v>INSERT INTO ACTORS (ACTOR_ID, ACTOR_NAME, PROFILE_PIC) VALUES ('AC-' || TO_CHAR(SYSDATE, 'YYYYMMDD-') || LPAD(SEQ_ACTORS_PK.NEXTVAL, 6, 0), 'Shivam Vichare','배우사진');</v>
      </c>
      <c r="E55" t="s">
        <v>640</v>
      </c>
    </row>
    <row r="56" spans="1:5" x14ac:dyDescent="0.3">
      <c r="A56" s="9" t="s">
        <v>389</v>
      </c>
      <c r="B56" t="s">
        <v>303</v>
      </c>
      <c r="C56" t="s">
        <v>258</v>
      </c>
      <c r="D56" t="str">
        <f t="shared" si="0"/>
        <v>INSERT INTO ACTORS (ACTOR_ID, ACTOR_NAME, PROFILE_PIC) VALUES ('AC-' || TO_CHAR(SYSDATE, 'YYYYMMDD-') || LPAD(SEQ_ACTORS_PK.NEXTVAL, 6, 0), '조지 맥케이 ','배우사진');</v>
      </c>
      <c r="E56" t="s">
        <v>641</v>
      </c>
    </row>
    <row r="57" spans="1:5" x14ac:dyDescent="0.3">
      <c r="A57" s="9" t="s">
        <v>469</v>
      </c>
      <c r="B57" t="s">
        <v>96</v>
      </c>
      <c r="C57" t="s">
        <v>258</v>
      </c>
      <c r="D57" t="str">
        <f t="shared" si="0"/>
        <v>INSERT INTO ACTORS (ACTOR_ID, ACTOR_NAME, PROFILE_PIC) VALUES ('AC-' || TO_CHAR(SYSDATE, 'YYYYMMDD-') || LPAD(SEQ_ACTORS_PK.NEXTVAL, 6, 0), '딘-찰스 채프먼','배우사진');</v>
      </c>
      <c r="E57" t="s">
        <v>642</v>
      </c>
    </row>
    <row r="58" spans="1:5" x14ac:dyDescent="0.3">
      <c r="A58" s="9" t="s">
        <v>464</v>
      </c>
      <c r="B58" t="s">
        <v>305</v>
      </c>
      <c r="C58" t="s">
        <v>258</v>
      </c>
      <c r="D58" t="str">
        <f t="shared" si="0"/>
        <v>INSERT INTO ACTORS (ACTOR_ID, ACTOR_NAME, PROFILE_PIC) VALUES ('AC-' || TO_CHAR(SYSDATE, 'YYYYMMDD-') || LPAD(SEQ_ACTORS_PK.NEXTVAL, 6, 0), '마크 스트롱','배우사진');</v>
      </c>
      <c r="E58" t="s">
        <v>643</v>
      </c>
    </row>
    <row r="59" spans="1:5" x14ac:dyDescent="0.3">
      <c r="A59" s="9" t="s">
        <v>470</v>
      </c>
      <c r="B59" t="s">
        <v>283</v>
      </c>
      <c r="C59" t="s">
        <v>258</v>
      </c>
      <c r="D59" t="str">
        <f t="shared" si="0"/>
        <v>INSERT INTO ACTORS (ACTOR_ID, ACTOR_NAME, PROFILE_PIC) VALUES ('AC-' || TO_CHAR(SYSDATE, 'YYYYMMDD-') || LPAD(SEQ_ACTORS_PK.NEXTVAL, 6, 0), '앤드류 스콧','배우사진');</v>
      </c>
      <c r="E59" t="s">
        <v>644</v>
      </c>
    </row>
    <row r="60" spans="1:5" x14ac:dyDescent="0.3">
      <c r="A60" s="9" t="s">
        <v>466</v>
      </c>
      <c r="B60" t="s">
        <v>306</v>
      </c>
      <c r="C60" t="s">
        <v>258</v>
      </c>
      <c r="D60" t="str">
        <f t="shared" si="0"/>
        <v>INSERT INTO ACTORS (ACTOR_ID, ACTOR_NAME, PROFILE_PIC) VALUES ('AC-' || TO_CHAR(SYSDATE, 'YYYYMMDD-') || LPAD(SEQ_ACTORS_PK.NEXTVAL, 6, 0), '리차드 매든','배우사진');</v>
      </c>
      <c r="E60" t="s">
        <v>645</v>
      </c>
    </row>
    <row r="61" spans="1:5" x14ac:dyDescent="0.3">
      <c r="A61" s="9" t="s">
        <v>465</v>
      </c>
      <c r="B61" t="s">
        <v>275</v>
      </c>
      <c r="C61" t="s">
        <v>258</v>
      </c>
      <c r="D61" t="str">
        <f t="shared" si="0"/>
        <v>INSERT INTO ACTORS (ACTOR_ID, ACTOR_NAME, PROFILE_PIC) VALUES ('AC-' || TO_CHAR(SYSDATE, 'YYYYMMDD-') || LPAD(SEQ_ACTORS_PK.NEXTVAL, 6, 0), '클레어 듀버크','배우사진');</v>
      </c>
      <c r="E61" t="s">
        <v>646</v>
      </c>
    </row>
    <row r="62" spans="1:5" x14ac:dyDescent="0.3">
      <c r="A62" s="9" t="s">
        <v>471</v>
      </c>
      <c r="B62" t="s">
        <v>276</v>
      </c>
      <c r="C62" t="s">
        <v>258</v>
      </c>
      <c r="D62" t="str">
        <f t="shared" si="0"/>
        <v>INSERT INTO ACTORS (ACTOR_ID, ACTOR_NAME, PROFILE_PIC) VALUES ('AC-' || TO_CHAR(SYSDATE, 'YYYYMMDD-') || LPAD(SEQ_ACTORS_PK.NEXTVAL, 6, 0), '콜린 퍼스','배우사진');</v>
      </c>
      <c r="E62" t="s">
        <v>647</v>
      </c>
    </row>
    <row r="63" spans="1:5" x14ac:dyDescent="0.3">
      <c r="A63" s="9" t="s">
        <v>467</v>
      </c>
      <c r="B63" t="s">
        <v>94</v>
      </c>
      <c r="C63" t="s">
        <v>258</v>
      </c>
      <c r="D63" t="str">
        <f t="shared" si="0"/>
        <v>INSERT INTO ACTORS (ACTOR_ID, ACTOR_NAME, PROFILE_PIC) VALUES ('AC-' || TO_CHAR(SYSDATE, 'YYYYMMDD-') || LPAD(SEQ_ACTORS_PK.NEXTVAL, 6, 0), '베네딕트 컴버배치','배우사진');</v>
      </c>
      <c r="E63" t="s">
        <v>648</v>
      </c>
    </row>
    <row r="64" spans="1:5" x14ac:dyDescent="0.3">
      <c r="A64" s="9" t="s">
        <v>472</v>
      </c>
      <c r="B64" t="s">
        <v>277</v>
      </c>
      <c r="C64" t="s">
        <v>258</v>
      </c>
      <c r="D64" t="str">
        <f t="shared" si="0"/>
        <v>INSERT INTO ACTORS (ACTOR_ID, ACTOR_NAME, PROFILE_PIC) VALUES ('AC-' || TO_CHAR(SYSDATE, 'YYYYMMDD-') || LPAD(SEQ_ACTORS_PK.NEXTVAL, 6, 0), '다니엘 메이스','배우사진');</v>
      </c>
      <c r="E64" t="s">
        <v>649</v>
      </c>
    </row>
    <row r="65" spans="1:5" x14ac:dyDescent="0.3">
      <c r="A65" s="9" t="s">
        <v>456</v>
      </c>
      <c r="B65" t="s">
        <v>77</v>
      </c>
      <c r="C65" t="s">
        <v>258</v>
      </c>
      <c r="D65" t="str">
        <f t="shared" si="0"/>
        <v>INSERT INTO ACTORS (ACTOR_ID, ACTOR_NAME, PROFILE_PIC) VALUES ('AC-' || TO_CHAR(SYSDATE, 'YYYYMMDD-') || LPAD(SEQ_ACTORS_PK.NEXTVAL, 6, 0), '레오나르도 디카프리오','배우사진');</v>
      </c>
      <c r="E65" t="s">
        <v>650</v>
      </c>
    </row>
    <row r="66" spans="1:5" x14ac:dyDescent="0.3">
      <c r="A66" s="9" t="s">
        <v>468</v>
      </c>
      <c r="B66" t="s">
        <v>279</v>
      </c>
      <c r="C66" t="s">
        <v>258</v>
      </c>
      <c r="D66" t="str">
        <f t="shared" si="0"/>
        <v>INSERT INTO ACTORS (ACTOR_ID, ACTOR_NAME, PROFILE_PIC) VALUES ('AC-' || TO_CHAR(SYSDATE, 'YYYYMMDD-') || LPAD(SEQ_ACTORS_PK.NEXTVAL, 6, 0), '조셉 고든레빗','배우사진');</v>
      </c>
      <c r="E66" t="s">
        <v>651</v>
      </c>
    </row>
    <row r="67" spans="1:5" x14ac:dyDescent="0.3">
      <c r="A67" s="9" t="s">
        <v>457</v>
      </c>
      <c r="B67" t="s">
        <v>307</v>
      </c>
      <c r="C67" t="s">
        <v>258</v>
      </c>
      <c r="D67" t="str">
        <f t="shared" ref="D67:E82" si="1">$D$1 &amp; _xlfn.TEXTJOIN("','",FALSE,B67:C67) &amp; "');"</f>
        <v>INSERT INTO ACTORS (ACTOR_ID, ACTOR_NAME, PROFILE_PIC) VALUES ('AC-' || TO_CHAR(SYSDATE, 'YYYYMMDD-') || LPAD(SEQ_ACTORS_PK.NEXTVAL, 6, 0), '와타나베 켄','배우사진');</v>
      </c>
      <c r="E67" t="s">
        <v>652</v>
      </c>
    </row>
    <row r="68" spans="1:5" x14ac:dyDescent="0.3">
      <c r="A68" s="9" t="s">
        <v>458</v>
      </c>
      <c r="B68" t="s">
        <v>308</v>
      </c>
      <c r="C68" t="s">
        <v>258</v>
      </c>
      <c r="D68" t="str">
        <f t="shared" si="1"/>
        <v>INSERT INTO ACTORS (ACTOR_ID, ACTOR_NAME, PROFILE_PIC) VALUES ('AC-' || TO_CHAR(SYSDATE, 'YYYYMMDD-') || LPAD(SEQ_ACTORS_PK.NEXTVAL, 6, 0), '톰 하디','배우사진');</v>
      </c>
      <c r="E68" t="s">
        <v>653</v>
      </c>
    </row>
    <row r="69" spans="1:5" x14ac:dyDescent="0.3">
      <c r="A69" s="9" t="s">
        <v>459</v>
      </c>
      <c r="B69" t="s">
        <v>309</v>
      </c>
      <c r="C69" t="s">
        <v>258</v>
      </c>
      <c r="D69" t="str">
        <f t="shared" si="1"/>
        <v>INSERT INTO ACTORS (ACTOR_ID, ACTOR_NAME, PROFILE_PIC) VALUES ('AC-' || TO_CHAR(SYSDATE, 'YYYYMMDD-') || LPAD(SEQ_ACTORS_PK.NEXTVAL, 6, 0), '엘리엇 페이지','배우사진');</v>
      </c>
      <c r="E69" t="s">
        <v>654</v>
      </c>
    </row>
    <row r="70" spans="1:5" x14ac:dyDescent="0.3">
      <c r="A70" s="9" t="s">
        <v>462</v>
      </c>
      <c r="B70" t="s">
        <v>313</v>
      </c>
      <c r="C70" t="s">
        <v>258</v>
      </c>
      <c r="D70" t="str">
        <f t="shared" si="1"/>
        <v>INSERT INTO ACTORS (ACTOR_ID, ACTOR_NAME, PROFILE_PIC) VALUES ('AC-' || TO_CHAR(SYSDATE, 'YYYYMMDD-') || LPAD(SEQ_ACTORS_PK.NEXTVAL, 6, 0), '딜립 라오 ','배우사진');</v>
      </c>
      <c r="E70" t="s">
        <v>655</v>
      </c>
    </row>
    <row r="71" spans="1:5" x14ac:dyDescent="0.3">
      <c r="A71" s="9" t="s">
        <v>460</v>
      </c>
      <c r="B71" t="s">
        <v>310</v>
      </c>
      <c r="C71" t="s">
        <v>258</v>
      </c>
      <c r="D71" t="str">
        <f t="shared" si="1"/>
        <v>INSERT INTO ACTORS (ACTOR_ID, ACTOR_NAME, PROFILE_PIC) VALUES ('AC-' || TO_CHAR(SYSDATE, 'YYYYMMDD-') || LPAD(SEQ_ACTORS_PK.NEXTVAL, 6, 0), '킬리언 머피','배우사진');</v>
      </c>
      <c r="E71" t="s">
        <v>656</v>
      </c>
    </row>
    <row r="72" spans="1:5" x14ac:dyDescent="0.3">
      <c r="A72" s="9" t="s">
        <v>463</v>
      </c>
      <c r="B72" t="s">
        <v>318</v>
      </c>
      <c r="C72" t="s">
        <v>258</v>
      </c>
      <c r="D72" t="str">
        <f t="shared" si="1"/>
        <v>INSERT INTO ACTORS (ACTOR_ID, ACTOR_NAME, PROFILE_PIC) VALUES ('AC-' || TO_CHAR(SYSDATE, 'YYYYMMDD-') || LPAD(SEQ_ACTORS_PK.NEXTVAL, 6, 0), '톰 베렌저','배우사진');</v>
      </c>
      <c r="E72" t="s">
        <v>657</v>
      </c>
    </row>
    <row r="73" spans="1:5" x14ac:dyDescent="0.3">
      <c r="A73" s="9" t="s">
        <v>485</v>
      </c>
      <c r="B73" t="s">
        <v>75</v>
      </c>
      <c r="C73" t="s">
        <v>258</v>
      </c>
      <c r="D73" t="str">
        <f t="shared" si="1"/>
        <v>INSERT INTO ACTORS (ACTOR_ID, ACTOR_NAME, PROFILE_PIC) VALUES ('AC-' || TO_CHAR(SYSDATE, 'YYYYMMDD-') || LPAD(SEQ_ACTORS_PK.NEXTVAL, 6, 0), '마리옹 꼬띠아르','배우사진');</v>
      </c>
      <c r="E73" t="s">
        <v>658</v>
      </c>
    </row>
    <row r="74" spans="1:5" x14ac:dyDescent="0.3">
      <c r="A74" s="9" t="s">
        <v>489</v>
      </c>
      <c r="B74" t="s">
        <v>312</v>
      </c>
      <c r="C74" t="s">
        <v>258</v>
      </c>
      <c r="D74" t="str">
        <f t="shared" si="1"/>
        <v>INSERT INTO ACTORS (ACTOR_ID, ACTOR_NAME, PROFILE_PIC) VALUES ('AC-' || TO_CHAR(SYSDATE, 'YYYYMMDD-') || LPAD(SEQ_ACTORS_PK.NEXTVAL, 6, 0), '키아누 리브스','배우사진');</v>
      </c>
      <c r="E74" t="s">
        <v>659</v>
      </c>
    </row>
    <row r="75" spans="1:5" x14ac:dyDescent="0.3">
      <c r="A75" s="9" t="s">
        <v>475</v>
      </c>
      <c r="B75" t="s">
        <v>80</v>
      </c>
      <c r="C75" t="s">
        <v>258</v>
      </c>
      <c r="D75" t="str">
        <f t="shared" si="1"/>
        <v>INSERT INTO ACTORS (ACTOR_ID, ACTOR_NAME, PROFILE_PIC) VALUES ('AC-' || TO_CHAR(SYSDATE, 'YYYYMMDD-') || LPAD(SEQ_ACTORS_PK.NEXTVAL, 6, 0), '미카엘 니크비스트','배우사진');</v>
      </c>
      <c r="E75" t="s">
        <v>660</v>
      </c>
    </row>
    <row r="76" spans="1:5" x14ac:dyDescent="0.3">
      <c r="A76" s="9" t="s">
        <v>482</v>
      </c>
      <c r="B76" t="s">
        <v>319</v>
      </c>
      <c r="C76" t="s">
        <v>258</v>
      </c>
      <c r="D76" t="str">
        <f t="shared" si="1"/>
        <v>INSERT INTO ACTORS (ACTOR_ID, ACTOR_NAME, PROFILE_PIC) VALUES ('AC-' || TO_CHAR(SYSDATE, 'YYYYMMDD-') || LPAD(SEQ_ACTORS_PK.NEXTVAL, 6, 0), '알피 앨런','배우사진');</v>
      </c>
      <c r="E76" t="s">
        <v>661</v>
      </c>
    </row>
    <row r="77" spans="1:5" x14ac:dyDescent="0.3">
      <c r="A77" s="9" t="s">
        <v>483</v>
      </c>
      <c r="B77" t="s">
        <v>324</v>
      </c>
      <c r="C77" t="s">
        <v>258</v>
      </c>
      <c r="D77" t="str">
        <f t="shared" si="1"/>
        <v>INSERT INTO ACTORS (ACTOR_ID, ACTOR_NAME, PROFILE_PIC) VALUES ('AC-' || TO_CHAR(SYSDATE, 'YYYYMMDD-') || LPAD(SEQ_ACTORS_PK.NEXTVAL, 6, 0), '월렘 대포','배우사진');</v>
      </c>
      <c r="E77" t="s">
        <v>662</v>
      </c>
    </row>
    <row r="78" spans="1:5" x14ac:dyDescent="0.3">
      <c r="A78" s="9" t="s">
        <v>491</v>
      </c>
      <c r="B78" t="s">
        <v>322</v>
      </c>
      <c r="C78" t="s">
        <v>258</v>
      </c>
      <c r="D78" t="str">
        <f t="shared" si="1"/>
        <v>INSERT INTO ACTORS (ACTOR_ID, ACTOR_NAME, PROFILE_PIC) VALUES ('AC-' || TO_CHAR(SYSDATE, 'YYYYMMDD-') || LPAD(SEQ_ACTORS_PK.NEXTVAL, 6, 0), '딘 윈터스','배우사진');</v>
      </c>
      <c r="E78" t="s">
        <v>663</v>
      </c>
    </row>
    <row r="79" spans="1:5" x14ac:dyDescent="0.3">
      <c r="A79" s="9" t="s">
        <v>493</v>
      </c>
      <c r="B79" t="s">
        <v>82</v>
      </c>
      <c r="C79" t="s">
        <v>258</v>
      </c>
      <c r="D79" t="str">
        <f t="shared" si="1"/>
        <v>INSERT INTO ACTORS (ACTOR_ID, ACTOR_NAME, PROFILE_PIC) VALUES ('AC-' || TO_CHAR(SYSDATE, 'YYYYMMDD-') || LPAD(SEQ_ACTORS_PK.NEXTVAL, 6, 0), '에이드리언 팰리키','배우사진');</v>
      </c>
      <c r="E79" t="s">
        <v>664</v>
      </c>
    </row>
    <row r="80" spans="1:5" x14ac:dyDescent="0.3">
      <c r="A80" s="9" t="s">
        <v>477</v>
      </c>
      <c r="B80" t="s">
        <v>83</v>
      </c>
      <c r="C80" t="s">
        <v>258</v>
      </c>
      <c r="D80" t="str">
        <f t="shared" si="1"/>
        <v>INSERT INTO ACTORS (ACTOR_ID, ACTOR_NAME, PROFILE_PIC) VALUES ('AC-' || TO_CHAR(SYSDATE, 'YYYYMMDD-') || LPAD(SEQ_ACTORS_PK.NEXTVAL, 6, 0), 'Omer Barnea','배우사진');</v>
      </c>
      <c r="E80" t="s">
        <v>665</v>
      </c>
    </row>
    <row r="81" spans="1:5" x14ac:dyDescent="0.3">
      <c r="A81" s="9" t="s">
        <v>481</v>
      </c>
      <c r="B81" t="s">
        <v>58</v>
      </c>
      <c r="C81" t="s">
        <v>258</v>
      </c>
      <c r="D81" t="str">
        <f t="shared" si="1"/>
        <v>INSERT INTO ACTORS (ACTOR_ID, ACTOR_NAME, PROFILE_PIC) VALUES ('AC-' || TO_CHAR(SYSDATE, 'YYYYMMDD-') || LPAD(SEQ_ACTORS_PK.NEXTVAL, 6, 0), 'Toby Leonard Moore','배우사진');</v>
      </c>
      <c r="E81" t="s">
        <v>666</v>
      </c>
    </row>
    <row r="82" spans="1:5" x14ac:dyDescent="0.3">
      <c r="A82" s="9" t="s">
        <v>494</v>
      </c>
      <c r="B82" t="s">
        <v>85</v>
      </c>
      <c r="C82" t="s">
        <v>258</v>
      </c>
      <c r="D82" t="str">
        <f t="shared" si="1"/>
        <v>INSERT INTO ACTORS (ACTOR_ID, ACTOR_NAME, PROFILE_PIC) VALUES ('AC-' || TO_CHAR(SYSDATE, 'YYYYMMDD-') || LPAD(SEQ_ACTORS_PK.NEXTVAL, 6, 0), '다니엘 베른하르트','배우사진');</v>
      </c>
      <c r="E82" t="s">
        <v>667</v>
      </c>
    </row>
  </sheetData>
  <phoneticPr fontId="5" type="noConversion"/>
  <pageMargins left="0.69999998807907104" right="0.69999998807907104" top="0.75" bottom="0.75" header="0.30000001192092896" footer="0.30000001192092896"/>
  <pageSetup paperSize="9" fitToWidth="0"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F86"/>
  <sheetViews>
    <sheetView topLeftCell="A50" zoomScaleNormal="100" zoomScaleSheetLayoutView="75" workbookViewId="0">
      <selection activeCell="D58" sqref="D58"/>
    </sheetView>
  </sheetViews>
  <sheetFormatPr defaultColWidth="8.75" defaultRowHeight="16.5" x14ac:dyDescent="0.3"/>
  <cols>
    <col min="1" max="1" width="18.875" style="3" bestFit="1" customWidth="1"/>
    <col min="2" max="2" width="19.375" style="2" bestFit="1" customWidth="1"/>
    <col min="3" max="3" width="18.875" style="2" bestFit="1" customWidth="1"/>
    <col min="4" max="4" width="23.75" style="1" bestFit="1" customWidth="1"/>
    <col min="5" max="16384" width="8.75" style="1"/>
  </cols>
  <sheetData>
    <row r="1" spans="1:6" x14ac:dyDescent="0.3">
      <c r="A1" s="3" t="s">
        <v>267</v>
      </c>
      <c r="B1" s="2" t="s">
        <v>233</v>
      </c>
      <c r="C1" s="2" t="s">
        <v>265</v>
      </c>
      <c r="D1" s="1" t="s">
        <v>268</v>
      </c>
    </row>
    <row r="2" spans="1:6" x14ac:dyDescent="0.3">
      <c r="A2" s="3" t="s">
        <v>529</v>
      </c>
      <c r="B2" s="2" t="s">
        <v>36</v>
      </c>
      <c r="C2" s="2" t="s">
        <v>420</v>
      </c>
      <c r="D2" s="1" t="s">
        <v>192</v>
      </c>
      <c r="E2" s="1" t="str">
        <f>"INSERT INTO FILMOGRAPHY (FILMOGRAPHY_ID, MOVIE_ID, ACTOR_ID, ACTOR_ROLE) VALUES ('FL-' || TO_CHAR(SYSDATE, 'YYYYMMDD-') || LPAD(SEQ_FILMOGRAPHY_PK.NEXTVAL, 6, 0), '" &amp; _xlfn.TEXTJOIN("', '",FALSE,B2:D2) &amp; "');"</f>
        <v>INSERT INTO FILMOGRAPHY (FILMOGRAPHY_ID, MOVIE_ID, ACTOR_ID, ACTOR_ROLE) VALUES ('FL-' || TO_CHAR(SYSDATE, 'YYYYMMDD-') || LPAD(SEQ_FILMOGRAPHY_PK.NEXTVAL, 6, 0), 'MV-20260226-000001', 'AC-20260226-000001', 'Rumi (voice)');</v>
      </c>
      <c r="F2" s="1" t="s">
        <v>722</v>
      </c>
    </row>
    <row r="3" spans="1:6" x14ac:dyDescent="0.3">
      <c r="A3" s="3" t="s">
        <v>501</v>
      </c>
      <c r="B3" s="2" t="s">
        <v>36</v>
      </c>
      <c r="C3" s="2" t="s">
        <v>427</v>
      </c>
      <c r="D3" s="1" t="s">
        <v>178</v>
      </c>
      <c r="E3" s="1" t="str">
        <f t="shared" ref="E3:E66" si="0">"INSERT INTO FILMOGRAPHY (FILMOGRAPHY_ID, MOVIE_ID, ACTOR_ID, ACTOR_ROLE) VALUES ('FL-' || TO_CHAR(SYSDATE, 'YYYYMMDD-') || LPAD(SEQ_FILMOGRAPHY_PK.NEXTVAL, 6, 0), '" &amp; _xlfn.TEXTJOIN("', '",FALSE,B3:D3) &amp; "');"</f>
        <v>INSERT INTO FILMOGRAPHY (FILMOGRAPHY_ID, MOVIE_ID, ACTOR_ID, ACTOR_ROLE) VALUES ('FL-' || TO_CHAR(SYSDATE, 'YYYYMMDD-') || LPAD(SEQ_FILMOGRAPHY_PK.NEXTVAL, 6, 0), 'MV-20260226-000001', 'AC-20260226-000002', 'Mira (voice)');</v>
      </c>
      <c r="F3" s="1" t="s">
        <v>723</v>
      </c>
    </row>
    <row r="4" spans="1:6" x14ac:dyDescent="0.3">
      <c r="A4" s="3" t="s">
        <v>503</v>
      </c>
      <c r="B4" s="2" t="s">
        <v>36</v>
      </c>
      <c r="C4" s="2" t="s">
        <v>432</v>
      </c>
      <c r="D4" s="1" t="s">
        <v>190</v>
      </c>
      <c r="E4" s="1" t="str">
        <f t="shared" si="0"/>
        <v>INSERT INTO FILMOGRAPHY (FILMOGRAPHY_ID, MOVIE_ID, ACTOR_ID, ACTOR_ROLE) VALUES ('FL-' || TO_CHAR(SYSDATE, 'YYYYMMDD-') || LPAD(SEQ_FILMOGRAPHY_PK.NEXTVAL, 6, 0), 'MV-20260226-000001', 'AC-20260226-000003', 'Zoey (voice)');</v>
      </c>
      <c r="F4" s="1" t="s">
        <v>724</v>
      </c>
    </row>
    <row r="5" spans="1:6" x14ac:dyDescent="0.3">
      <c r="A5" s="3" t="s">
        <v>502</v>
      </c>
      <c r="B5" s="2" t="s">
        <v>36</v>
      </c>
      <c r="C5" s="2" t="s">
        <v>440</v>
      </c>
      <c r="D5" s="1" t="s">
        <v>187</v>
      </c>
      <c r="E5" s="1" t="str">
        <f t="shared" si="0"/>
        <v>INSERT INTO FILMOGRAPHY (FILMOGRAPHY_ID, MOVIE_ID, ACTOR_ID, ACTOR_ROLE) VALUES ('FL-' || TO_CHAR(SYSDATE, 'YYYYMMDD-') || LPAD(SEQ_FILMOGRAPHY_PK.NEXTVAL, 6, 0), 'MV-20260226-000001', 'AC-20260226-000004', 'Jinu (voice)');</v>
      </c>
      <c r="F5" s="1" t="s">
        <v>725</v>
      </c>
    </row>
    <row r="6" spans="1:6" x14ac:dyDescent="0.3">
      <c r="A6" s="3" t="s">
        <v>504</v>
      </c>
      <c r="B6" s="2" t="s">
        <v>36</v>
      </c>
      <c r="C6" s="2" t="s">
        <v>433</v>
      </c>
      <c r="D6" s="1" t="s">
        <v>193</v>
      </c>
      <c r="E6" s="1" t="str">
        <f t="shared" si="0"/>
        <v>INSERT INTO FILMOGRAPHY (FILMOGRAPHY_ID, MOVIE_ID, ACTOR_ID, ACTOR_ROLE) VALUES ('FL-' || TO_CHAR(SYSDATE, 'YYYYMMDD-') || LPAD(SEQ_FILMOGRAPHY_PK.NEXTVAL, 6, 0), 'MV-20260226-000001', 'AC-20260226-000005', 'Celine (voice)');</v>
      </c>
      <c r="F6" s="1" t="s">
        <v>726</v>
      </c>
    </row>
    <row r="7" spans="1:6" x14ac:dyDescent="0.3">
      <c r="A7" s="3" t="s">
        <v>505</v>
      </c>
      <c r="B7" s="2" t="s">
        <v>36</v>
      </c>
      <c r="C7" s="2" t="s">
        <v>426</v>
      </c>
      <c r="D7" s="1" t="s">
        <v>194</v>
      </c>
      <c r="E7" s="1" t="str">
        <f t="shared" si="0"/>
        <v>INSERT INTO FILMOGRAPHY (FILMOGRAPHY_ID, MOVIE_ID, ACTOR_ID, ACTOR_ROLE) VALUES ('FL-' || TO_CHAR(SYSDATE, 'YYYYMMDD-') || LPAD(SEQ_FILMOGRAPHY_PK.NEXTVAL, 6, 0), 'MV-20260226-000001', 'AC-20260226-000006', 'Bobby (voice)');</v>
      </c>
      <c r="F7" s="1" t="s">
        <v>727</v>
      </c>
    </row>
    <row r="8" spans="1:6" x14ac:dyDescent="0.3">
      <c r="A8" s="3" t="s">
        <v>506</v>
      </c>
      <c r="B8" s="2" t="s">
        <v>36</v>
      </c>
      <c r="C8" s="2" t="s">
        <v>428</v>
      </c>
      <c r="D8" s="1" t="s">
        <v>183</v>
      </c>
      <c r="E8" s="1" t="str">
        <f t="shared" si="0"/>
        <v>INSERT INTO FILMOGRAPHY (FILMOGRAPHY_ID, MOVIE_ID, ACTOR_ID, ACTOR_ROLE) VALUES ('FL-' || TO_CHAR(SYSDATE, 'YYYYMMDD-') || LPAD(SEQ_FILMOGRAPHY_PK.NEXTVAL, 6, 0), 'MV-20260226-000001', 'AC-20260226-000007', 'Gwi-Ma (voice)');</v>
      </c>
      <c r="F8" s="1" t="s">
        <v>728</v>
      </c>
    </row>
    <row r="9" spans="1:6" x14ac:dyDescent="0.3">
      <c r="A9" s="3" t="s">
        <v>507</v>
      </c>
      <c r="B9" s="2" t="s">
        <v>36</v>
      </c>
      <c r="C9" s="2" t="s">
        <v>424</v>
      </c>
      <c r="D9" s="1" t="s">
        <v>67</v>
      </c>
      <c r="E9" s="1" t="str">
        <f t="shared" si="0"/>
        <v>INSERT INTO FILMOGRAPHY (FILMOGRAPHY_ID, MOVIE_ID, ACTOR_ID, ACTOR_ROLE) VALUES ('FL-' || TO_CHAR(SYSDATE, 'YYYYMMDD-') || LPAD(SEQ_FILMOGRAPHY_PK.NEXTVAL, 6, 0), 'MV-20260226-000001', 'AC-20260226-000008', 'Healer Han (voice)');</v>
      </c>
      <c r="F9" s="1" t="s">
        <v>729</v>
      </c>
    </row>
    <row r="10" spans="1:6" x14ac:dyDescent="0.3">
      <c r="A10" s="3" t="s">
        <v>510</v>
      </c>
      <c r="B10" s="2" t="s">
        <v>36</v>
      </c>
      <c r="C10" s="2" t="s">
        <v>424</v>
      </c>
      <c r="D10" s="1" t="s">
        <v>223</v>
      </c>
      <c r="E10" s="1" t="str">
        <f t="shared" si="0"/>
        <v>INSERT INTO FILMOGRAPHY (FILMOGRAPHY_ID, MOVIE_ID, ACTOR_ID, ACTOR_ROLE) VALUES ('FL-' || TO_CHAR(SYSDATE, 'YYYYMMDD-') || LPAD(SEQ_FILMOGRAPHY_PK.NEXTVAL, 6, 0), 'MV-20260226-000001', 'AC-20260226-000008', 'Additional Voices (voice)');</v>
      </c>
      <c r="F10" s="1" t="s">
        <v>730</v>
      </c>
    </row>
    <row r="11" spans="1:6" x14ac:dyDescent="0.3">
      <c r="A11" s="3" t="s">
        <v>508</v>
      </c>
      <c r="B11" s="2" t="s">
        <v>36</v>
      </c>
      <c r="C11" s="2" t="s">
        <v>424</v>
      </c>
      <c r="D11" s="1" t="s">
        <v>225</v>
      </c>
      <c r="E11" s="1" t="str">
        <f t="shared" si="0"/>
        <v>INSERT INTO FILMOGRAPHY (FILMOGRAPHY_ID, MOVIE_ID, ACTOR_ID, ACTOR_ROLE) VALUES ('FL-' || TO_CHAR(SYSDATE, 'YYYYMMDD-') || LPAD(SEQ_FILMOGRAPHY_PK.NEXTVAL, 6, 0), 'MV-20260226-000001', 'AC-20260226-000008', 'Variety Show Host 1 (voice)');</v>
      </c>
      <c r="F11" s="1" t="s">
        <v>731</v>
      </c>
    </row>
    <row r="12" spans="1:6" x14ac:dyDescent="0.3">
      <c r="A12" s="3" t="s">
        <v>509</v>
      </c>
      <c r="B12" s="2" t="s">
        <v>36</v>
      </c>
      <c r="C12" s="2" t="s">
        <v>434</v>
      </c>
      <c r="D12" s="1" t="s">
        <v>68</v>
      </c>
      <c r="E12" s="1" t="str">
        <f t="shared" si="0"/>
        <v>INSERT INTO FILMOGRAPHY (FILMOGRAPHY_ID, MOVIE_ID, ACTOR_ID, ACTOR_ROLE) VALUES ('FL-' || TO_CHAR(SYSDATE, 'YYYYMMDD-') || LPAD(SEQ_FILMOGRAPHY_PK.NEXTVAL, 6, 0), 'MV-20260226-000001', 'AC-20260226-000009', 'Idol Host (voice)');</v>
      </c>
      <c r="F12" s="1" t="s">
        <v>732</v>
      </c>
    </row>
    <row r="13" spans="1:6" x14ac:dyDescent="0.3">
      <c r="A13" s="3" t="s">
        <v>513</v>
      </c>
      <c r="B13" s="2" t="s">
        <v>36</v>
      </c>
      <c r="C13" s="2" t="s">
        <v>434</v>
      </c>
      <c r="D13" s="1" t="s">
        <v>328</v>
      </c>
      <c r="E13" s="1" t="str">
        <f t="shared" si="0"/>
        <v>INSERT INTO FILMOGRAPHY (FILMOGRAPHY_ID, MOVIE_ID, ACTOR_ID, ACTOR_ROLE) VALUES ('FL-' || TO_CHAR(SYSDATE, 'YYYYMMDD-') || LPAD(SEQ_FILMOGRAPHY_PK.NEXTVAL, 6, 0), 'MV-20260226-000001', 'AC-20260226-000009', 'Romance Saja (voice)');</v>
      </c>
      <c r="F13" s="1" t="s">
        <v>733</v>
      </c>
    </row>
    <row r="14" spans="1:6" x14ac:dyDescent="0.3">
      <c r="A14" s="3" t="s">
        <v>514</v>
      </c>
      <c r="B14" s="2" t="s">
        <v>406</v>
      </c>
      <c r="C14" s="2" t="s">
        <v>435</v>
      </c>
      <c r="D14" s="1" t="s">
        <v>266</v>
      </c>
      <c r="E14" s="1" t="str">
        <f t="shared" si="0"/>
        <v>INSERT INTO FILMOGRAPHY (FILMOGRAPHY_ID, MOVIE_ID, ACTOR_ID, ACTOR_ROLE) VALUES ('FL-' || TO_CHAR(SYSDATE, 'YYYYMMDD-') || LPAD(SEQ_FILMOGRAPHY_PK.NEXTVAL, 6, 0), 'MV-20260226-000002', 'AC-20260226-000010', 'George');</v>
      </c>
      <c r="F14" s="1" t="s">
        <v>734</v>
      </c>
    </row>
    <row r="15" spans="1:6" x14ac:dyDescent="0.3">
      <c r="A15" s="3" t="s">
        <v>511</v>
      </c>
      <c r="B15" s="2" t="s">
        <v>406</v>
      </c>
      <c r="C15" s="2" t="s">
        <v>437</v>
      </c>
      <c r="D15" s="1" t="s">
        <v>254</v>
      </c>
      <c r="E15" s="1" t="str">
        <f t="shared" si="0"/>
        <v>INSERT INTO FILMOGRAPHY (FILMOGRAPHY_ID, MOVIE_ID, ACTOR_ID, ACTOR_ROLE) VALUES ('FL-' || TO_CHAR(SYSDATE, 'YYYYMMDD-') || LPAD(SEQ_FILMOGRAPHY_PK.NEXTVAL, 6, 0), 'MV-20260226-000002', 'AC-20260226-000011', 'John');</v>
      </c>
      <c r="F15" s="1" t="s">
        <v>735</v>
      </c>
    </row>
    <row r="16" spans="1:6" x14ac:dyDescent="0.3">
      <c r="A16" s="3" t="s">
        <v>512</v>
      </c>
      <c r="B16" s="2" t="s">
        <v>406</v>
      </c>
      <c r="C16" s="2" t="s">
        <v>425</v>
      </c>
      <c r="D16" s="1" t="s">
        <v>257</v>
      </c>
      <c r="E16" s="1" t="str">
        <f t="shared" si="0"/>
        <v>INSERT INTO FILMOGRAPHY (FILMOGRAPHY_ID, MOVIE_ID, ACTOR_ID, ACTOR_ROLE) VALUES ('FL-' || TO_CHAR(SYSDATE, 'YYYYMMDD-') || LPAD(SEQ_FILMOGRAPHY_PK.NEXTVAL, 6, 0), 'MV-20260226-000002', 'AC-20260226-000012', 'Paul');</v>
      </c>
      <c r="F16" s="1" t="s">
        <v>736</v>
      </c>
    </row>
    <row r="17" spans="1:6" x14ac:dyDescent="0.3">
      <c r="A17" s="3" t="s">
        <v>550</v>
      </c>
      <c r="B17" s="2" t="s">
        <v>406</v>
      </c>
      <c r="C17" s="2" t="s">
        <v>429</v>
      </c>
      <c r="D17" s="1" t="s">
        <v>259</v>
      </c>
      <c r="E17" s="1" t="str">
        <f t="shared" si="0"/>
        <v>INSERT INTO FILMOGRAPHY (FILMOGRAPHY_ID, MOVIE_ID, ACTOR_ID, ACTOR_ROLE) VALUES ('FL-' || TO_CHAR(SYSDATE, 'YYYYMMDD-') || LPAD(SEQ_FILMOGRAPHY_PK.NEXTVAL, 6, 0), 'MV-20260226-000002', 'AC-20260226-000013', 'Ringo');</v>
      </c>
      <c r="F17" s="1" t="s">
        <v>737</v>
      </c>
    </row>
    <row r="18" spans="1:6" x14ac:dyDescent="0.3">
      <c r="A18" s="3" t="s">
        <v>556</v>
      </c>
      <c r="B18" s="2" t="s">
        <v>406</v>
      </c>
      <c r="C18" s="2" t="s">
        <v>430</v>
      </c>
      <c r="D18" s="1" t="s">
        <v>273</v>
      </c>
      <c r="E18" s="1" t="str">
        <f t="shared" si="0"/>
        <v>INSERT INTO FILMOGRAPHY (FILMOGRAPHY_ID, MOVIE_ID, ACTOR_ID, ACTOR_ROLE) VALUES ('FL-' || TO_CHAR(SYSDATE, 'YYYYMMDD-') || LPAD(SEQ_FILMOGRAPHY_PK.NEXTVAL, 6, 0), 'MV-20260226-000002', 'AC-20260226-000014', 'Clang');</v>
      </c>
      <c r="F18" s="1" t="s">
        <v>738</v>
      </c>
    </row>
    <row r="19" spans="1:6" x14ac:dyDescent="0.3">
      <c r="A19" s="3" t="s">
        <v>553</v>
      </c>
      <c r="B19" s="2" t="s">
        <v>406</v>
      </c>
      <c r="C19" s="2" t="s">
        <v>431</v>
      </c>
      <c r="D19" s="1" t="s">
        <v>249</v>
      </c>
      <c r="E19" s="1" t="str">
        <f t="shared" si="0"/>
        <v>INSERT INTO FILMOGRAPHY (FILMOGRAPHY_ID, MOVIE_ID, ACTOR_ID, ACTOR_ROLE) VALUES ('FL-' || TO_CHAR(SYSDATE, 'YYYYMMDD-') || LPAD(SEQ_FILMOGRAPHY_PK.NEXTVAL, 6, 0), 'MV-20260226-000002', 'AC-20260226-000015', 'Ahme');</v>
      </c>
      <c r="F19" s="1" t="s">
        <v>739</v>
      </c>
    </row>
    <row r="20" spans="1:6" x14ac:dyDescent="0.3">
      <c r="A20" s="3" t="s">
        <v>555</v>
      </c>
      <c r="B20" s="2" t="s">
        <v>406</v>
      </c>
      <c r="C20" s="2" t="s">
        <v>436</v>
      </c>
      <c r="D20" s="1" t="s">
        <v>100</v>
      </c>
      <c r="E20" s="1" t="str">
        <f t="shared" si="0"/>
        <v>INSERT INTO FILMOGRAPHY (FILMOGRAPHY_ID, MOVIE_ID, ACTOR_ID, ACTOR_ROLE) VALUES ('FL-' || TO_CHAR(SYSDATE, 'YYYYMMDD-') || LPAD(SEQ_FILMOGRAPHY_PK.NEXTVAL, 6, 0), 'MV-20260226-000002', 'AC-20260226-000016', 'Prof.Foot');</v>
      </c>
      <c r="F20" s="1" t="s">
        <v>740</v>
      </c>
    </row>
    <row r="21" spans="1:6" x14ac:dyDescent="0.3">
      <c r="A21" s="3" t="s">
        <v>541</v>
      </c>
      <c r="B21" s="2" t="s">
        <v>406</v>
      </c>
      <c r="C21" s="2" t="s">
        <v>438</v>
      </c>
      <c r="D21" s="1" t="s">
        <v>101</v>
      </c>
      <c r="E21" s="1" t="str">
        <f t="shared" si="0"/>
        <v>INSERT INTO FILMOGRAPHY (FILMOGRAPHY_ID, MOVIE_ID, ACTOR_ID, ACTOR_ROLE) VALUES ('FL-' || TO_CHAR(SYSDATE, 'YYYYMMDD-') || LPAD(SEQ_FILMOGRAPHY_PK.NEXTVAL, 6, 0), 'MV-20260226-000002', 'AC-20260226-000017', 'Algernon');</v>
      </c>
      <c r="F21" s="1" t="s">
        <v>741</v>
      </c>
    </row>
    <row r="22" spans="1:6" x14ac:dyDescent="0.3">
      <c r="A22" s="3" t="s">
        <v>557</v>
      </c>
      <c r="B22" s="2" t="s">
        <v>406</v>
      </c>
      <c r="C22" s="2" t="s">
        <v>439</v>
      </c>
      <c r="D22" s="1" t="s">
        <v>248</v>
      </c>
      <c r="E22" s="1" t="str">
        <f t="shared" si="0"/>
        <v>INSERT INTO FILMOGRAPHY (FILMOGRAPHY_ID, MOVIE_ID, ACTOR_ID, ACTOR_ROLE) VALUES ('FL-' || TO_CHAR(SYSDATE, 'YYYYMMDD-') || LPAD(SEQ_FILMOGRAPHY_PK.NEXTVAL, 6, 0), 'MV-20260226-000002', 'AC-20260226-000018', 'Bhuta');</v>
      </c>
      <c r="F22" s="1" t="s">
        <v>742</v>
      </c>
    </row>
    <row r="23" spans="1:6" x14ac:dyDescent="0.3">
      <c r="A23" s="3" t="s">
        <v>534</v>
      </c>
      <c r="B23" s="2" t="s">
        <v>405</v>
      </c>
      <c r="C23" s="2" t="s">
        <v>350</v>
      </c>
      <c r="D23" s="1" t="s">
        <v>172</v>
      </c>
      <c r="E23" s="1" t="str">
        <f t="shared" si="0"/>
        <v>INSERT INTO FILMOGRAPHY (FILMOGRAPHY_ID, MOVIE_ID, ACTOR_ID, ACTOR_ROLE) VALUES ('FL-' || TO_CHAR(SYSDATE, 'YYYYMMDD-') || LPAD(SEQ_FILMOGRAPHY_PK.NEXTVAL, 6, 0), 'MV-20260226-000004', 'AC-20260226-000019', 'Denji (voice)');</v>
      </c>
      <c r="F23" s="1" t="s">
        <v>743</v>
      </c>
    </row>
    <row r="24" spans="1:6" x14ac:dyDescent="0.3">
      <c r="A24" s="3" t="s">
        <v>533</v>
      </c>
      <c r="B24" s="2" t="s">
        <v>405</v>
      </c>
      <c r="C24" s="2" t="s">
        <v>367</v>
      </c>
      <c r="D24" s="1" t="s">
        <v>184</v>
      </c>
      <c r="E24" s="1" t="str">
        <f t="shared" si="0"/>
        <v>INSERT INTO FILMOGRAPHY (FILMOGRAPHY_ID, MOVIE_ID, ACTOR_ID, ACTOR_ROLE) VALUES ('FL-' || TO_CHAR(SYSDATE, 'YYYYMMDD-') || LPAD(SEQ_FILMOGRAPHY_PK.NEXTVAL, 6, 0), 'MV-20260226-000004', 'AC-20260226-000020', 'Reze (voice)');</v>
      </c>
      <c r="F24" s="1" t="s">
        <v>744</v>
      </c>
    </row>
    <row r="25" spans="1:6" x14ac:dyDescent="0.3">
      <c r="A25" s="3" t="s">
        <v>552</v>
      </c>
      <c r="B25" s="2" t="s">
        <v>405</v>
      </c>
      <c r="C25" s="2" t="s">
        <v>370</v>
      </c>
      <c r="D25" s="1" t="s">
        <v>180</v>
      </c>
      <c r="E25" s="1" t="str">
        <f t="shared" si="0"/>
        <v>INSERT INTO FILMOGRAPHY (FILMOGRAPHY_ID, MOVIE_ID, ACTOR_ID, ACTOR_ROLE) VALUES ('FL-' || TO_CHAR(SYSDATE, 'YYYYMMDD-') || LPAD(SEQ_FILMOGRAPHY_PK.NEXTVAL, 6, 0), 'MV-20260226-000004', 'AC-20260226-000021', 'Makima (voice)');</v>
      </c>
      <c r="F25" s="1" t="s">
        <v>745</v>
      </c>
    </row>
    <row r="26" spans="1:6" x14ac:dyDescent="0.3">
      <c r="A26" s="3" t="s">
        <v>547</v>
      </c>
      <c r="B26" s="2" t="s">
        <v>405</v>
      </c>
      <c r="C26" s="2" t="s">
        <v>351</v>
      </c>
      <c r="D26" s="1" t="s">
        <v>118</v>
      </c>
      <c r="E26" s="1" t="str">
        <f t="shared" si="0"/>
        <v>INSERT INTO FILMOGRAPHY (FILMOGRAPHY_ID, MOVIE_ID, ACTOR_ID, ACTOR_ROLE) VALUES ('FL-' || TO_CHAR(SYSDATE, 'YYYYMMDD-') || LPAD(SEQ_FILMOGRAPHY_PK.NEXTVAL, 6, 0), 'MV-20260226-000004', 'AC-20260226-000022', 'Aki (voice)');</v>
      </c>
      <c r="F26" s="1" t="s">
        <v>746</v>
      </c>
    </row>
    <row r="27" spans="1:6" x14ac:dyDescent="0.3">
      <c r="A27" s="3" t="s">
        <v>544</v>
      </c>
      <c r="B27" s="2" t="s">
        <v>405</v>
      </c>
      <c r="C27" s="2" t="s">
        <v>368</v>
      </c>
      <c r="D27" s="1" t="s">
        <v>69</v>
      </c>
      <c r="E27" s="1" t="str">
        <f t="shared" si="0"/>
        <v>INSERT INTO FILMOGRAPHY (FILMOGRAPHY_ID, MOVIE_ID, ACTOR_ID, ACTOR_ROLE) VALUES ('FL-' || TO_CHAR(SYSDATE, 'YYYYMMDD-') || LPAD(SEQ_FILMOGRAPHY_PK.NEXTVAL, 6, 0), 'MV-20260226-000004', 'AC-20260226-000023', 'Angel Devil (voice)');</v>
      </c>
      <c r="F27" s="1" t="s">
        <v>747</v>
      </c>
    </row>
    <row r="28" spans="1:6" x14ac:dyDescent="0.3">
      <c r="A28" s="3" t="s">
        <v>548</v>
      </c>
      <c r="B28" s="2" t="s">
        <v>405</v>
      </c>
      <c r="C28" s="2" t="s">
        <v>356</v>
      </c>
      <c r="D28" s="1" t="s">
        <v>173</v>
      </c>
      <c r="E28" s="1" t="str">
        <f t="shared" si="0"/>
        <v>INSERT INTO FILMOGRAPHY (FILMOGRAPHY_ID, MOVIE_ID, ACTOR_ID, ACTOR_ROLE) VALUES ('FL-' || TO_CHAR(SYSDATE, 'YYYYMMDD-') || LPAD(SEQ_FILMOGRAPHY_PK.NEXTVAL, 6, 0), 'MV-20260226-000004', 'AC-20260226-000024', 'Beam (voice)');</v>
      </c>
      <c r="F28" s="1" t="s">
        <v>748</v>
      </c>
    </row>
    <row r="29" spans="1:6" x14ac:dyDescent="0.3">
      <c r="A29" s="3" t="s">
        <v>539</v>
      </c>
      <c r="B29" s="2" t="s">
        <v>405</v>
      </c>
      <c r="C29" s="2" t="s">
        <v>359</v>
      </c>
      <c r="D29" s="1" t="s">
        <v>188</v>
      </c>
      <c r="E29" s="1" t="str">
        <f t="shared" si="0"/>
        <v>INSERT INTO FILMOGRAPHY (FILMOGRAPHY_ID, MOVIE_ID, ACTOR_ID, ACTOR_ROLE) VALUES ('FL-' || TO_CHAR(SYSDATE, 'YYYYMMDD-') || LPAD(SEQ_FILMOGRAPHY_PK.NEXTVAL, 6, 0), 'MV-20260226-000004', 'AC-20260226-000025', 'Kobeni (voice)');</v>
      </c>
      <c r="F29" s="1" t="s">
        <v>749</v>
      </c>
    </row>
    <row r="30" spans="1:6" x14ac:dyDescent="0.3">
      <c r="A30" s="3" t="s">
        <v>543</v>
      </c>
      <c r="B30" s="2" t="s">
        <v>405</v>
      </c>
      <c r="C30" s="2" t="s">
        <v>348</v>
      </c>
      <c r="D30" s="1" t="s">
        <v>181</v>
      </c>
      <c r="E30" s="1" t="str">
        <f t="shared" si="0"/>
        <v>INSERT INTO FILMOGRAPHY (FILMOGRAPHY_ID, MOVIE_ID, ACTOR_ID, ACTOR_ROLE) VALUES ('FL-' || TO_CHAR(SYSDATE, 'YYYYMMDD-') || LPAD(SEQ_FILMOGRAPHY_PK.NEXTVAL, 6, 0), 'MV-20260226-000004', 'AC-20260226-000026', 'Power (voice)');</v>
      </c>
      <c r="F30" s="1" t="s">
        <v>750</v>
      </c>
    </row>
    <row r="31" spans="1:6" x14ac:dyDescent="0.3">
      <c r="A31" s="3" t="s">
        <v>559</v>
      </c>
      <c r="B31" s="2" t="s">
        <v>405</v>
      </c>
      <c r="C31" s="2" t="s">
        <v>357</v>
      </c>
      <c r="D31" s="1" t="s">
        <v>227</v>
      </c>
      <c r="E31" s="1" t="str">
        <f t="shared" si="0"/>
        <v>INSERT INTO FILMOGRAPHY (FILMOGRAPHY_ID, MOVIE_ID, ACTOR_ID, ACTOR_ROLE) VALUES ('FL-' || TO_CHAR(SYSDATE, 'YYYYMMDD-') || LPAD(SEQ_FILMOGRAPHY_PK.NEXTVAL, 6, 0), 'MV-20260226-000004', 'AC-20260226-000027', 'The Violence Fiend (voice)');</v>
      </c>
      <c r="F31" s="1" t="s">
        <v>751</v>
      </c>
    </row>
    <row r="32" spans="1:6" x14ac:dyDescent="0.3">
      <c r="A32" s="3" t="s">
        <v>558</v>
      </c>
      <c r="B32" s="2" t="s">
        <v>402</v>
      </c>
      <c r="C32" s="2" t="s">
        <v>358</v>
      </c>
      <c r="D32" s="1" t="s">
        <v>120</v>
      </c>
      <c r="E32" s="1" t="str">
        <f t="shared" si="0"/>
        <v>INSERT INTO FILMOGRAPHY (FILMOGRAPHY_ID, MOVIE_ID, ACTOR_ID, ACTOR_ROLE) VALUES ('FL-' || TO_CHAR(SYSDATE, 'YYYYMMDD-') || LPAD(SEQ_FILMOGRAPHY_PK.NEXTVAL, 6, 0), 'MV-20260226-000005', 'AC-20260226-000028', 'Mason Dixon');</v>
      </c>
      <c r="F32" s="1" t="s">
        <v>752</v>
      </c>
    </row>
    <row r="33" spans="1:6" x14ac:dyDescent="0.3">
      <c r="A33" s="3" t="s">
        <v>546</v>
      </c>
      <c r="B33" s="2" t="s">
        <v>402</v>
      </c>
      <c r="C33" s="2" t="s">
        <v>360</v>
      </c>
      <c r="D33" s="1" t="s">
        <v>218</v>
      </c>
      <c r="E33" s="1" t="str">
        <f t="shared" si="0"/>
        <v>INSERT INTO FILMOGRAPHY (FILMOGRAPHY_ID, MOVIE_ID, ACTOR_ID, ACTOR_ROLE) VALUES ('FL-' || TO_CHAR(SYSDATE, 'YYYYMMDD-') || LPAD(SEQ_FILMOGRAPHY_PK.NEXTVAL, 6, 0), 'MV-20260226-000005', 'AC-20260226-000029', 'Jim Richardson');</v>
      </c>
      <c r="F33" s="1" t="s">
        <v>753</v>
      </c>
    </row>
    <row r="34" spans="1:6" x14ac:dyDescent="0.3">
      <c r="A34" s="3" t="s">
        <v>540</v>
      </c>
      <c r="B34" s="2" t="s">
        <v>402</v>
      </c>
      <c r="C34" s="2" t="s">
        <v>365</v>
      </c>
      <c r="D34" s="1" t="s">
        <v>219</v>
      </c>
      <c r="E34" s="1" t="str">
        <f t="shared" si="0"/>
        <v>INSERT INTO FILMOGRAPHY (FILMOGRAPHY_ID, MOVIE_ID, ACTOR_ID, ACTOR_ROLE) VALUES ('FL-' || TO_CHAR(SYSDATE, 'YYYYMMDD-') || LPAD(SEQ_FILMOGRAPHY_PK.NEXTVAL, 6, 0), 'MV-20260226-000005', 'AC-20260226-000030', 'Lois Fairchild');</v>
      </c>
      <c r="F34" s="1" t="s">
        <v>754</v>
      </c>
    </row>
    <row r="35" spans="1:6" x14ac:dyDescent="0.3">
      <c r="A35" s="3" t="s">
        <v>545</v>
      </c>
      <c r="B35" s="2" t="s">
        <v>402</v>
      </c>
      <c r="C35" s="2" t="s">
        <v>349</v>
      </c>
      <c r="D35" s="1" t="s">
        <v>64</v>
      </c>
      <c r="E35" s="1" t="str">
        <f t="shared" si="0"/>
        <v>INSERT INTO FILMOGRAPHY (FILMOGRAPHY_ID, MOVIE_ID, ACTOR_ID, ACTOR_ROLE) VALUES ('FL-' || TO_CHAR(SYSDATE, 'YYYYMMDD-') || LPAD(SEQ_FILMOGRAPHY_PK.NEXTVAL, 6, 0), 'MV-20260226-000005', 'AC-20260226-000031', 'Wilbur Finletter');</v>
      </c>
      <c r="F35" s="1" t="s">
        <v>755</v>
      </c>
    </row>
    <row r="36" spans="1:6" x14ac:dyDescent="0.3">
      <c r="A36" s="3" t="s">
        <v>560</v>
      </c>
      <c r="B36" s="2" t="s">
        <v>402</v>
      </c>
      <c r="C36" s="2" t="s">
        <v>353</v>
      </c>
      <c r="D36" s="1" t="s">
        <v>201</v>
      </c>
      <c r="E36" s="1" t="str">
        <f t="shared" si="0"/>
        <v>INSERT INTO FILMOGRAPHY (FILMOGRAPHY_ID, MOVIE_ID, ACTOR_ID, ACTOR_ROLE) VALUES ('FL-' || TO_CHAR(SYSDATE, 'YYYYMMDD-') || LPAD(SEQ_FILMOGRAPHY_PK.NEXTVAL, 6, 0), 'MV-20260226-000005', 'AC-20260226-000032', 'The President');</v>
      </c>
      <c r="F36" s="1" t="s">
        <v>756</v>
      </c>
    </row>
    <row r="37" spans="1:6" x14ac:dyDescent="0.3">
      <c r="A37" s="3" t="s">
        <v>542</v>
      </c>
      <c r="B37" s="2" t="s">
        <v>402</v>
      </c>
      <c r="C37" s="2" t="s">
        <v>361</v>
      </c>
      <c r="D37" s="1" t="s">
        <v>210</v>
      </c>
      <c r="E37" s="1" t="str">
        <f t="shared" si="0"/>
        <v>INSERT INTO FILMOGRAPHY (FILMOGRAPHY_ID, MOVIE_ID, ACTOR_ID, ACTOR_ROLE) VALUES ('FL-' || TO_CHAR(SYSDATE, 'YYYYMMDD-') || LPAD(SEQ_FILMOGRAPHY_PK.NEXTVAL, 6, 0), 'MV-20260226-000005', 'AC-20260226-000033', 'Senator Polk');</v>
      </c>
      <c r="F37" s="1" t="s">
        <v>757</v>
      </c>
    </row>
    <row r="38" spans="1:6" x14ac:dyDescent="0.3">
      <c r="A38" s="3" t="s">
        <v>554</v>
      </c>
      <c r="B38" s="2" t="s">
        <v>402</v>
      </c>
      <c r="C38" s="2" t="s">
        <v>362</v>
      </c>
      <c r="D38" s="1" t="s">
        <v>121</v>
      </c>
      <c r="E38" s="1" t="str">
        <f t="shared" si="0"/>
        <v>INSERT INTO FILMOGRAPHY (FILMOGRAPHY_ID, MOVIE_ID, ACTOR_ID, ACTOR_ROLE) VALUES ('FL-' || TO_CHAR(SYSDATE, 'YYYYMMDD-') || LPAD(SEQ_FILMOGRAPHY_PK.NEXTVAL, 6, 0), 'MV-20260226-000005', 'AC-20260226-000034', 'Salesman');</v>
      </c>
      <c r="F38" s="1" t="s">
        <v>758</v>
      </c>
    </row>
    <row r="39" spans="1:6" x14ac:dyDescent="0.3">
      <c r="A39" s="3" t="s">
        <v>551</v>
      </c>
      <c r="B39" s="2" t="s">
        <v>402</v>
      </c>
      <c r="C39" s="2" t="s">
        <v>363</v>
      </c>
      <c r="D39" s="1" t="s">
        <v>213</v>
      </c>
      <c r="E39" s="1" t="str">
        <f t="shared" si="0"/>
        <v>INSERT INTO FILMOGRAPHY (FILMOGRAPHY_ID, MOVIE_ID, ACTOR_ID, ACTOR_ROLE) VALUES ('FL-' || TO_CHAR(SYSDATE, 'YYYYMMDD-') || LPAD(SEQ_FILMOGRAPHY_PK.NEXTVAL, 6, 0), 'MV-20260226-000005', 'AC-20260226-000035', 'Guard at Gate');</v>
      </c>
      <c r="F39" s="1" t="s">
        <v>759</v>
      </c>
    </row>
    <row r="40" spans="1:6" x14ac:dyDescent="0.3">
      <c r="A40" s="3" t="s">
        <v>561</v>
      </c>
      <c r="B40" s="2" t="s">
        <v>402</v>
      </c>
      <c r="C40" s="2" t="s">
        <v>364</v>
      </c>
      <c r="D40" s="1" t="s">
        <v>298</v>
      </c>
      <c r="E40" s="1" t="str">
        <f t="shared" si="0"/>
        <v>INSERT INTO FILMOGRAPHY (FILMOGRAPHY_ID, MOVIE_ID, ACTOR_ID, ACTOR_ROLE) VALUES ('FL-' || TO_CHAR(SYSDATE, 'YYYYMMDD-') || LPAD(SEQ_FILMOGRAPHY_PK.NEXTVAL, 6, 0), 'MV-20260226-000005', 'AC-20260226-000036', 'Janitor');</v>
      </c>
      <c r="F40" s="1" t="s">
        <v>760</v>
      </c>
    </row>
    <row r="41" spans="1:6" x14ac:dyDescent="0.3">
      <c r="A41" s="3" t="s">
        <v>562</v>
      </c>
      <c r="B41" s="2" t="s">
        <v>402</v>
      </c>
      <c r="C41" s="2" t="s">
        <v>364</v>
      </c>
      <c r="D41" s="1" t="s">
        <v>214</v>
      </c>
      <c r="E41" s="1" t="str">
        <f t="shared" si="0"/>
        <v>INSERT INTO FILMOGRAPHY (FILMOGRAPHY_ID, MOVIE_ID, ACTOR_ID, ACTOR_ROLE) VALUES ('FL-' || TO_CHAR(SYSDATE, 'YYYYMMDD-') || LPAD(SEQ_FILMOGRAPHY_PK.NEXTVAL, 6, 0), 'MV-20260226-000005', 'AC-20260226-000036', 'Charles White');</v>
      </c>
      <c r="F41" s="1" t="s">
        <v>761</v>
      </c>
    </row>
    <row r="42" spans="1:6" x14ac:dyDescent="0.3">
      <c r="A42" s="3" t="s">
        <v>549</v>
      </c>
      <c r="B42" s="2" t="s">
        <v>399</v>
      </c>
      <c r="C42" s="2" t="s">
        <v>354</v>
      </c>
      <c r="D42" s="1" t="s">
        <v>215</v>
      </c>
      <c r="E42" s="1" t="str">
        <f t="shared" si="0"/>
        <v>INSERT INTO FILMOGRAPHY (FILMOGRAPHY_ID, MOVIE_ID, ACTOR_ID, ACTOR_ROLE) VALUES ('FL-' || TO_CHAR(SYSDATE, 'YYYYMMDD-') || LPAD(SEQ_FILMOGRAPHY_PK.NEXTVAL, 6, 0), 'MV-20260226-000006', 'AC-20260226-000037', 'LT.Aldo Raine');</v>
      </c>
      <c r="F42" s="1" t="s">
        <v>762</v>
      </c>
    </row>
    <row r="43" spans="1:6" x14ac:dyDescent="0.3">
      <c r="A43" s="3" t="s">
        <v>563</v>
      </c>
      <c r="B43" s="2" t="s">
        <v>399</v>
      </c>
      <c r="C43" s="2" t="s">
        <v>382</v>
      </c>
      <c r="D43" s="1" t="s">
        <v>123</v>
      </c>
      <c r="E43" s="1" t="str">
        <f t="shared" si="0"/>
        <v>INSERT INTO FILMOGRAPHY (FILMOGRAPHY_ID, MOVIE_ID, ACTOR_ID, ACTOR_ROLE) VALUES ('FL-' || TO_CHAR(SYSDATE, 'YYYYMMDD-') || LPAD(SEQ_FILMOGRAPHY_PK.NEXTVAL, 6, 0), 'MV-20260226-000006', 'AC-20260226-000038', 'Shosanna');</v>
      </c>
      <c r="F43" s="1" t="s">
        <v>763</v>
      </c>
    </row>
    <row r="44" spans="1:6" x14ac:dyDescent="0.3">
      <c r="A44" s="3" t="s">
        <v>535</v>
      </c>
      <c r="B44" s="2" t="s">
        <v>399</v>
      </c>
      <c r="C44" s="2" t="s">
        <v>371</v>
      </c>
      <c r="D44" s="1" t="s">
        <v>200</v>
      </c>
      <c r="E44" s="1" t="str">
        <f t="shared" si="0"/>
        <v>INSERT INTO FILMOGRAPHY (FILMOGRAPHY_ID, MOVIE_ID, ACTOR_ID, ACTOR_ROLE) VALUES ('FL-' || TO_CHAR(SYSDATE, 'YYYYMMDD-') || LPAD(SEQ_FILMOGRAPHY_PK.NEXTVAL, 6, 0), 'MV-20260226-000006', 'AC-20260226-000039', 'COL. Hans Landa');</v>
      </c>
      <c r="F44" s="1" t="s">
        <v>764</v>
      </c>
    </row>
    <row r="45" spans="1:6" x14ac:dyDescent="0.3">
      <c r="A45" s="3" t="s">
        <v>536</v>
      </c>
      <c r="B45" s="2" t="s">
        <v>399</v>
      </c>
      <c r="C45" s="2" t="s">
        <v>384</v>
      </c>
      <c r="D45" s="1" t="s">
        <v>62</v>
      </c>
      <c r="E45" s="1" t="str">
        <f t="shared" si="0"/>
        <v>INSERT INTO FILMOGRAPHY (FILMOGRAPHY_ID, MOVIE_ID, ACTOR_ID, ACTOR_ROLE) VALUES ('FL-' || TO_CHAR(SYSDATE, 'YYYYMMDD-') || LPAD(SEQ_FILMOGRAPHY_PK.NEXTVAL, 6, 0), 'MV-20260226-000006', 'AC-20260226-000040', 'SGT.Donny Donowitz');</v>
      </c>
      <c r="F45" s="1" t="s">
        <v>765</v>
      </c>
    </row>
    <row r="46" spans="1:6" x14ac:dyDescent="0.3">
      <c r="A46" s="3" t="s">
        <v>537</v>
      </c>
      <c r="B46" s="2" t="s">
        <v>399</v>
      </c>
      <c r="C46" s="2" t="s">
        <v>376</v>
      </c>
      <c r="D46" s="1" t="s">
        <v>220</v>
      </c>
      <c r="E46" s="1" t="str">
        <f t="shared" si="0"/>
        <v>INSERT INTO FILMOGRAPHY (FILMOGRAPHY_ID, MOVIE_ID, ACTOR_ID, ACTOR_ROLE) VALUES ('FL-' || TO_CHAR(SYSDATE, 'YYYYMMDD-') || LPAD(SEQ_FILMOGRAPHY_PK.NEXTVAL, 6, 0), 'MV-20260226-000006', 'AC-20260226-000041', 'LT.Archie Hicox');</v>
      </c>
      <c r="F46" s="1" t="s">
        <v>766</v>
      </c>
    </row>
    <row r="47" spans="1:6" x14ac:dyDescent="0.3">
      <c r="A47" s="3" t="s">
        <v>538</v>
      </c>
      <c r="B47" s="2" t="s">
        <v>399</v>
      </c>
      <c r="C47" s="2" t="s">
        <v>381</v>
      </c>
      <c r="D47" s="1" t="s">
        <v>329</v>
      </c>
      <c r="E47" s="1" t="str">
        <f t="shared" si="0"/>
        <v>INSERT INTO FILMOGRAPHY (FILMOGRAPHY_ID, MOVIE_ID, ACTOR_ID, ACTOR_ROLE) VALUES ('FL-' || TO_CHAR(SYSDATE, 'YYYYMMDD-') || LPAD(SEQ_FILMOGRAPHY_PK.NEXTVAL, 6, 0), 'MV-20260226-000006', 'AC-20260226-000042', 'Bridget von Hammersmark');</v>
      </c>
      <c r="F47" s="1" t="s">
        <v>767</v>
      </c>
    </row>
    <row r="48" spans="1:6" x14ac:dyDescent="0.3">
      <c r="A48" s="3" t="s">
        <v>567</v>
      </c>
      <c r="B48" s="2" t="s">
        <v>399</v>
      </c>
      <c r="C48" s="2" t="s">
        <v>375</v>
      </c>
      <c r="D48" s="1" t="s">
        <v>222</v>
      </c>
      <c r="E48" s="1" t="str">
        <f t="shared" si="0"/>
        <v>INSERT INTO FILMOGRAPHY (FILMOGRAPHY_ID, MOVIE_ID, ACTOR_ID, ACTOR_ROLE) VALUES ('FL-' || TO_CHAR(SYSDATE, 'YYYYMMDD-') || LPAD(SEQ_FILMOGRAPHY_PK.NEXTVAL, 6, 0), 'MV-20260226-000006', 'AC-20260226-000043', 'Fredrick Zoller');</v>
      </c>
      <c r="F48" s="1" t="s">
        <v>768</v>
      </c>
    </row>
    <row r="49" spans="1:6" x14ac:dyDescent="0.3">
      <c r="A49" s="3" t="s">
        <v>564</v>
      </c>
      <c r="B49" s="2" t="s">
        <v>399</v>
      </c>
      <c r="C49" s="2" t="s">
        <v>374</v>
      </c>
      <c r="D49" s="1" t="s">
        <v>63</v>
      </c>
      <c r="E49" s="1" t="str">
        <f t="shared" si="0"/>
        <v>INSERT INTO FILMOGRAPHY (FILMOGRAPHY_ID, MOVIE_ID, ACTOR_ID, ACTOR_ROLE) VALUES ('FL-' || TO_CHAR(SYSDATE, 'YYYYMMDD-') || LPAD(SEQ_FILMOGRAPHY_PK.NEXTVAL, 6, 0), 'MV-20260226-000006', 'AC-20260226-000044', 'SGT. Hugo Stiglitz');</v>
      </c>
      <c r="F49" s="1" t="s">
        <v>769</v>
      </c>
    </row>
    <row r="50" spans="1:6" x14ac:dyDescent="0.3">
      <c r="A50" s="3" t="s">
        <v>569</v>
      </c>
      <c r="B50" s="2" t="s">
        <v>399</v>
      </c>
      <c r="C50" s="2" t="s">
        <v>383</v>
      </c>
      <c r="D50" s="1" t="s">
        <v>59</v>
      </c>
      <c r="E50" s="1" t="str">
        <f t="shared" si="0"/>
        <v>INSERT INTO FILMOGRAPHY (FILMOGRAPHY_ID, MOVIE_ID, ACTOR_ID, ACTOR_ROLE) VALUES ('FL-' || TO_CHAR(SYSDATE, 'YYYYMMDD-') || LPAD(SEQ_FILMOGRAPHY_PK.NEXTVAL, 6, 0), 'MV-20260226-000006', 'AC-20260226-000045', 'CPL. Wilhelm Wicki');</v>
      </c>
      <c r="F50" s="1" t="s">
        <v>770</v>
      </c>
    </row>
    <row r="51" spans="1:6" x14ac:dyDescent="0.3">
      <c r="A51" s="3" t="s">
        <v>565</v>
      </c>
      <c r="B51" s="2" t="s">
        <v>401</v>
      </c>
      <c r="C51" s="2" t="s">
        <v>377</v>
      </c>
      <c r="D51" s="1" t="s">
        <v>89</v>
      </c>
      <c r="E51" s="1" t="str">
        <f t="shared" si="0"/>
        <v>INSERT INTO FILMOGRAPHY (FILMOGRAPHY_ID, MOVIE_ID, ACTOR_ID, ACTOR_ROLE) VALUES ('FL-' || TO_CHAR(SYSDATE, 'YYYYMMDD-') || LPAD(SEQ_FILMOGRAPHY_PK.NEXTVAL, 6, 0), 'MV-20260226-000007', 'AC-20260226-000046', 'Tyler Rake');</v>
      </c>
      <c r="F51" s="1" t="s">
        <v>771</v>
      </c>
    </row>
    <row r="52" spans="1:6" x14ac:dyDescent="0.3">
      <c r="A52" s="3" t="s">
        <v>566</v>
      </c>
      <c r="B52" s="2" t="s">
        <v>401</v>
      </c>
      <c r="C52" s="2" t="s">
        <v>385</v>
      </c>
      <c r="D52" s="1" t="s">
        <v>93</v>
      </c>
      <c r="E52" s="1" t="str">
        <f t="shared" si="0"/>
        <v>INSERT INTO FILMOGRAPHY (FILMOGRAPHY_ID, MOVIE_ID, ACTOR_ID, ACTOR_ROLE) VALUES ('FL-' || TO_CHAR(SYSDATE, 'YYYYMMDD-') || LPAD(SEQ_FILMOGRAPHY_PK.NEXTVAL, 6, 0), 'MV-20260226-000007', 'AC-20260226-000047', 'Ovi Mahajan');</v>
      </c>
      <c r="F52" s="1" t="s">
        <v>772</v>
      </c>
    </row>
    <row r="53" spans="1:6" x14ac:dyDescent="0.3">
      <c r="A53" s="3" t="s">
        <v>571</v>
      </c>
      <c r="B53" s="2" t="s">
        <v>401</v>
      </c>
      <c r="C53" s="2" t="s">
        <v>380</v>
      </c>
      <c r="D53" s="1" t="s">
        <v>304</v>
      </c>
      <c r="E53" s="1" t="str">
        <f t="shared" si="0"/>
        <v>INSERT INTO FILMOGRAPHY (FILMOGRAPHY_ID, MOVIE_ID, ACTOR_ID, ACTOR_ROLE) VALUES ('FL-' || TO_CHAR(SYSDATE, 'YYYYMMDD-') || LPAD(SEQ_FILMOGRAPHY_PK.NEXTVAL, 6, 0), 'MV-20260226-000007', 'AC-20260226-000048', 'Saju');</v>
      </c>
      <c r="F53" s="1" t="s">
        <v>773</v>
      </c>
    </row>
    <row r="54" spans="1:6" x14ac:dyDescent="0.3">
      <c r="A54" s="3" t="s">
        <v>568</v>
      </c>
      <c r="B54" s="2" t="s">
        <v>401</v>
      </c>
      <c r="C54" s="2" t="s">
        <v>378</v>
      </c>
      <c r="D54" s="1" t="s">
        <v>90</v>
      </c>
      <c r="E54" s="1" t="str">
        <f t="shared" si="0"/>
        <v>INSERT INTO FILMOGRAPHY (FILMOGRAPHY_ID, MOVIE_ID, ACTOR_ID, ACTOR_ROLE) VALUES ('FL-' || TO_CHAR(SYSDATE, 'YYYYMMDD-') || LPAD(SEQ_FILMOGRAPHY_PK.NEXTVAL, 6, 0), 'MV-20260226-000007', 'AC-20260226-000049', 'Nik Khan');</v>
      </c>
      <c r="F54" s="1" t="s">
        <v>774</v>
      </c>
    </row>
    <row r="55" spans="1:6" x14ac:dyDescent="0.3">
      <c r="A55" s="3" t="s">
        <v>570</v>
      </c>
      <c r="B55" s="2" t="s">
        <v>401</v>
      </c>
      <c r="C55" s="2" t="s">
        <v>386</v>
      </c>
      <c r="D55" s="1" t="s">
        <v>212</v>
      </c>
      <c r="E55" s="1" t="str">
        <f t="shared" si="0"/>
        <v>INSERT INTO FILMOGRAPHY (FILMOGRAPHY_ID, MOVIE_ID, ACTOR_ID, ACTOR_ROLE) VALUES ('FL-' || TO_CHAR(SYSDATE, 'YYYYMMDD-') || LPAD(SEQ_FILMOGRAPHY_PK.NEXTVAL, 6, 0), 'MV-20260226-000007', 'AC-20260226-000050', 'Ovi Mahajan Sr.');</v>
      </c>
      <c r="F55" s="1" t="s">
        <v>775</v>
      </c>
    </row>
    <row r="56" spans="1:6" x14ac:dyDescent="0.3">
      <c r="A56" s="3" t="s">
        <v>525</v>
      </c>
      <c r="B56" s="2" t="s">
        <v>401</v>
      </c>
      <c r="C56" s="2" t="s">
        <v>388</v>
      </c>
      <c r="D56" s="1" t="s">
        <v>280</v>
      </c>
      <c r="E56" s="1" t="str">
        <f t="shared" si="0"/>
        <v>INSERT INTO FILMOGRAPHY (FILMOGRAPHY_ID, MOVIE_ID, ACTOR_ID, ACTOR_ROLE) VALUES ('FL-' || TO_CHAR(SYSDATE, 'YYYYMMDD-') || LPAD(SEQ_FILMOGRAPHY_PK.NEXTVAL, 6, 0), 'MV-20260226-000007', 'AC-20260226-000051', 'Gaspar');</v>
      </c>
      <c r="F56" s="1" t="s">
        <v>776</v>
      </c>
    </row>
    <row r="57" spans="1:6" x14ac:dyDescent="0.3">
      <c r="A57" s="3" t="s">
        <v>518</v>
      </c>
      <c r="B57" s="2" t="s">
        <v>401</v>
      </c>
      <c r="C57" s="2" t="s">
        <v>373</v>
      </c>
      <c r="D57" s="23" t="s">
        <v>825</v>
      </c>
      <c r="E57" s="1" t="str">
        <f t="shared" si="0"/>
        <v>INSERT INTO FILMOGRAPHY (FILMOGRAPHY_ID, MOVIE_ID, ACTOR_ID, ACTOR_ROLE) VALUES ('FL-' || TO_CHAR(SYSDATE, 'YYYYMMDD-') || LPAD(SEQ_FILMOGRAPHY_PK.NEXTVAL, 6, 0), 'MV-20260226-000007', 'AC-20260226-000052', 'Rake''s Son');</v>
      </c>
      <c r="F57" s="1" t="s">
        <v>777</v>
      </c>
    </row>
    <row r="58" spans="1:6" x14ac:dyDescent="0.3">
      <c r="A58" s="3" t="s">
        <v>515</v>
      </c>
      <c r="B58" s="2" t="s">
        <v>401</v>
      </c>
      <c r="C58" s="2" t="s">
        <v>379</v>
      </c>
      <c r="D58" s="23" t="s">
        <v>825</v>
      </c>
      <c r="E58" s="1" t="str">
        <f t="shared" si="0"/>
        <v>INSERT INTO FILMOGRAPHY (FILMOGRAPHY_ID, MOVIE_ID, ACTOR_ID, ACTOR_ROLE) VALUES ('FL-' || TO_CHAR(SYSDATE, 'YYYYMMDD-') || LPAD(SEQ_FILMOGRAPHY_PK.NEXTVAL, 6, 0), 'MV-20260226-000007', 'AC-20260226-000053', 'Rake''s Son');</v>
      </c>
      <c r="F58" s="1" t="s">
        <v>778</v>
      </c>
    </row>
    <row r="59" spans="1:6" x14ac:dyDescent="0.3">
      <c r="A59" s="3" t="s">
        <v>519</v>
      </c>
      <c r="B59" s="2" t="s">
        <v>401</v>
      </c>
      <c r="C59" s="2" t="s">
        <v>387</v>
      </c>
      <c r="D59" s="1" t="s">
        <v>302</v>
      </c>
      <c r="E59" s="1" t="str">
        <f t="shared" si="0"/>
        <v>INSERT INTO FILMOGRAPHY (FILMOGRAPHY_ID, MOVIE_ID, ACTOR_ID, ACTOR_ROLE) VALUES ('FL-' || TO_CHAR(SYSDATE, 'YYYYMMDD-') || LPAD(SEQ_FILMOGRAPHY_PK.NEXTVAL, 6, 0), 'MV-20260226-000007', 'AC-20260226-000054', 'Sachin');</v>
      </c>
      <c r="F59" s="1" t="s">
        <v>779</v>
      </c>
    </row>
    <row r="60" spans="1:6" x14ac:dyDescent="0.3">
      <c r="A60" s="3" t="s">
        <v>521</v>
      </c>
      <c r="B60" s="2" t="s">
        <v>403</v>
      </c>
      <c r="C60" s="2" t="s">
        <v>389</v>
      </c>
      <c r="D60" s="1" t="s">
        <v>224</v>
      </c>
      <c r="E60" s="1" t="str">
        <f t="shared" si="0"/>
        <v>INSERT INTO FILMOGRAPHY (FILMOGRAPHY_ID, MOVIE_ID, ACTOR_ID, ACTOR_ROLE) VALUES ('FL-' || TO_CHAR(SYSDATE, 'YYYYMMDD-') || LPAD(SEQ_FILMOGRAPHY_PK.NEXTVAL, 6, 0), 'MV-20260226-000008', 'AC-20260226-000055', 'Lance Corporal Schofield');</v>
      </c>
      <c r="F60" s="1" t="s">
        <v>780</v>
      </c>
    </row>
    <row r="61" spans="1:6" x14ac:dyDescent="0.3">
      <c r="A61" s="3" t="s">
        <v>517</v>
      </c>
      <c r="B61" s="2" t="s">
        <v>403</v>
      </c>
      <c r="C61" s="2" t="s">
        <v>469</v>
      </c>
      <c r="D61" s="1" t="s">
        <v>326</v>
      </c>
      <c r="E61" s="1" t="str">
        <f t="shared" si="0"/>
        <v>INSERT INTO FILMOGRAPHY (FILMOGRAPHY_ID, MOVIE_ID, ACTOR_ID, ACTOR_ROLE) VALUES ('FL-' || TO_CHAR(SYSDATE, 'YYYYMMDD-') || LPAD(SEQ_FILMOGRAPHY_PK.NEXTVAL, 6, 0), 'MV-20260226-000008', 'AC-20260226-000056', 'Lance Corporal Blake');</v>
      </c>
      <c r="F61" s="1" t="s">
        <v>781</v>
      </c>
    </row>
    <row r="62" spans="1:6" x14ac:dyDescent="0.3">
      <c r="A62" s="3" t="s">
        <v>516</v>
      </c>
      <c r="B62" s="2" t="s">
        <v>403</v>
      </c>
      <c r="C62" s="2" t="s">
        <v>464</v>
      </c>
      <c r="D62" s="1" t="s">
        <v>197</v>
      </c>
      <c r="E62" s="1" t="str">
        <f t="shared" si="0"/>
        <v>INSERT INTO FILMOGRAPHY (FILMOGRAPHY_ID, MOVIE_ID, ACTOR_ID, ACTOR_ROLE) VALUES ('FL-' || TO_CHAR(SYSDATE, 'YYYYMMDD-') || LPAD(SEQ_FILMOGRAPHY_PK.NEXTVAL, 6, 0), 'MV-20260226-000008', 'AC-20260226-000057', 'Captain Smith');</v>
      </c>
      <c r="F62" s="1" t="s">
        <v>782</v>
      </c>
    </row>
    <row r="63" spans="1:6" x14ac:dyDescent="0.3">
      <c r="A63" s="3" t="s">
        <v>520</v>
      </c>
      <c r="B63" s="2" t="s">
        <v>403</v>
      </c>
      <c r="C63" s="2" t="s">
        <v>470</v>
      </c>
      <c r="D63" s="1" t="s">
        <v>60</v>
      </c>
      <c r="E63" s="1" t="str">
        <f t="shared" si="0"/>
        <v>INSERT INTO FILMOGRAPHY (FILMOGRAPHY_ID, MOVIE_ID, ACTOR_ID, ACTOR_ROLE) VALUES ('FL-' || TO_CHAR(SYSDATE, 'YYYYMMDD-') || LPAD(SEQ_FILMOGRAPHY_PK.NEXTVAL, 6, 0), 'MV-20260226-000008', 'AC-20260226-000058', 'Lieutanant Leslie');</v>
      </c>
      <c r="F63" s="1" t="s">
        <v>783</v>
      </c>
    </row>
    <row r="64" spans="1:6" x14ac:dyDescent="0.3">
      <c r="A64" s="3" t="s">
        <v>522</v>
      </c>
      <c r="B64" s="2" t="s">
        <v>403</v>
      </c>
      <c r="C64" s="2" t="s">
        <v>466</v>
      </c>
      <c r="D64" s="1" t="s">
        <v>61</v>
      </c>
      <c r="E64" s="1" t="str">
        <f t="shared" si="0"/>
        <v>INSERT INTO FILMOGRAPHY (FILMOGRAPHY_ID, MOVIE_ID, ACTOR_ID, ACTOR_ROLE) VALUES ('FL-' || TO_CHAR(SYSDATE, 'YYYYMMDD-') || LPAD(SEQ_FILMOGRAPHY_PK.NEXTVAL, 6, 0), 'MV-20260226-000008', 'AC-20260226-000059', 'Lieutanant Blake');</v>
      </c>
      <c r="F64" s="1" t="s">
        <v>784</v>
      </c>
    </row>
    <row r="65" spans="1:6" x14ac:dyDescent="0.3">
      <c r="A65" s="3" t="s">
        <v>526</v>
      </c>
      <c r="B65" s="2" t="s">
        <v>403</v>
      </c>
      <c r="C65" s="2" t="s">
        <v>465</v>
      </c>
      <c r="D65" s="1" t="s">
        <v>278</v>
      </c>
      <c r="E65" s="1" t="str">
        <f t="shared" si="0"/>
        <v>INSERT INTO FILMOGRAPHY (FILMOGRAPHY_ID, MOVIE_ID, ACTOR_ID, ACTOR_ROLE) VALUES ('FL-' || TO_CHAR(SYSDATE, 'YYYYMMDD-') || LPAD(SEQ_FILMOGRAPHY_PK.NEXTVAL, 6, 0), 'MV-20260226-000008', 'AC-20260226-000060', 'Lauri');</v>
      </c>
      <c r="F65" s="1" t="s">
        <v>785</v>
      </c>
    </row>
    <row r="66" spans="1:6" x14ac:dyDescent="0.3">
      <c r="A66" s="3" t="s">
        <v>523</v>
      </c>
      <c r="B66" s="2" t="s">
        <v>403</v>
      </c>
      <c r="C66" s="2" t="s">
        <v>471</v>
      </c>
      <c r="D66" s="1" t="s">
        <v>54</v>
      </c>
      <c r="E66" s="1" t="str">
        <f t="shared" si="0"/>
        <v>INSERT INTO FILMOGRAPHY (FILMOGRAPHY_ID, MOVIE_ID, ACTOR_ID, ACTOR_ROLE) VALUES ('FL-' || TO_CHAR(SYSDATE, 'YYYYMMDD-') || LPAD(SEQ_FILMOGRAPHY_PK.NEXTVAL, 6, 0), 'MV-20260226-000008', 'AC-20260226-000061', 'General Erinmore');</v>
      </c>
      <c r="F66" s="1" t="s">
        <v>786</v>
      </c>
    </row>
    <row r="67" spans="1:6" x14ac:dyDescent="0.3">
      <c r="A67" s="3" t="s">
        <v>524</v>
      </c>
      <c r="B67" s="2" t="s">
        <v>403</v>
      </c>
      <c r="C67" s="2" t="s">
        <v>467</v>
      </c>
      <c r="D67" s="1" t="s">
        <v>56</v>
      </c>
      <c r="E67" s="1" t="str">
        <f t="shared" ref="E67:E86" si="1">"INSERT INTO FILMOGRAPHY (FILMOGRAPHY_ID, MOVIE_ID, ACTOR_ID, ACTOR_ROLE) VALUES ('FL-' || TO_CHAR(SYSDATE, 'YYYYMMDD-') || LPAD(SEQ_FILMOGRAPHY_PK.NEXTVAL, 6, 0), '" &amp; _xlfn.TEXTJOIN("', '",FALSE,B67:D67) &amp; "');"</f>
        <v>INSERT INTO FILMOGRAPHY (FILMOGRAPHY_ID, MOVIE_ID, ACTOR_ID, ACTOR_ROLE) VALUES ('FL-' || TO_CHAR(SYSDATE, 'YYYYMMDD-') || LPAD(SEQ_FILMOGRAPHY_PK.NEXTVAL, 6, 0), 'MV-20260226-000008', 'AC-20260226-000062', 'Colonel Mackenzie');</v>
      </c>
      <c r="F67" s="1" t="s">
        <v>787</v>
      </c>
    </row>
    <row r="68" spans="1:6" x14ac:dyDescent="0.3">
      <c r="A68" s="3" t="s">
        <v>527</v>
      </c>
      <c r="B68" s="2" t="s">
        <v>403</v>
      </c>
      <c r="C68" s="2" t="s">
        <v>472</v>
      </c>
      <c r="D68" s="1" t="s">
        <v>57</v>
      </c>
      <c r="E68" s="1" t="str">
        <f t="shared" si="1"/>
        <v>INSERT INTO FILMOGRAPHY (FILMOGRAPHY_ID, MOVIE_ID, ACTOR_ID, ACTOR_ROLE) VALUES ('FL-' || TO_CHAR(SYSDATE, 'YYYYMMDD-') || LPAD(SEQ_FILMOGRAPHY_PK.NEXTVAL, 6, 0), 'MV-20260226-000008', 'AC-20260226-000063', 'Sergeant Sanders');</v>
      </c>
      <c r="F68" s="1" t="s">
        <v>788</v>
      </c>
    </row>
    <row r="69" spans="1:6" x14ac:dyDescent="0.3">
      <c r="A69" s="3" t="s">
        <v>30</v>
      </c>
      <c r="B69" s="2" t="s">
        <v>404</v>
      </c>
      <c r="C69" s="2" t="s">
        <v>456</v>
      </c>
      <c r="D69" s="1" t="s">
        <v>76</v>
      </c>
      <c r="E69" s="1" t="str">
        <f t="shared" si="1"/>
        <v>INSERT INTO FILMOGRAPHY (FILMOGRAPHY_ID, MOVIE_ID, ACTOR_ID, ACTOR_ROLE) VALUES ('FL-' || TO_CHAR(SYSDATE, 'YYYYMMDD-') || LPAD(SEQ_FILMOGRAPHY_PK.NEXTVAL, 6, 0), 'MV-20260226-000009', 'AC-20260226-000064', 'Dom Cobb');</v>
      </c>
      <c r="F69" s="1" t="s">
        <v>789</v>
      </c>
    </row>
    <row r="70" spans="1:6" x14ac:dyDescent="0.3">
      <c r="A70" s="3" t="s">
        <v>26</v>
      </c>
      <c r="B70" s="2" t="s">
        <v>404</v>
      </c>
      <c r="C70" s="2" t="s">
        <v>468</v>
      </c>
      <c r="D70" s="1" t="s">
        <v>314</v>
      </c>
      <c r="E70" s="1" t="str">
        <f t="shared" si="1"/>
        <v>INSERT INTO FILMOGRAPHY (FILMOGRAPHY_ID, MOVIE_ID, ACTOR_ID, ACTOR_ROLE) VALUES ('FL-' || TO_CHAR(SYSDATE, 'YYYYMMDD-') || LPAD(SEQ_FILMOGRAPHY_PK.NEXTVAL, 6, 0), 'MV-20260226-000009', 'AC-20260226-000065', 'Arthur');</v>
      </c>
      <c r="F70" s="1" t="s">
        <v>790</v>
      </c>
    </row>
    <row r="71" spans="1:6" x14ac:dyDescent="0.3">
      <c r="A71" s="3" t="s">
        <v>29</v>
      </c>
      <c r="B71" s="2" t="s">
        <v>404</v>
      </c>
      <c r="C71" s="2" t="s">
        <v>457</v>
      </c>
      <c r="D71" s="1" t="s">
        <v>316</v>
      </c>
      <c r="E71" s="1" t="str">
        <f t="shared" si="1"/>
        <v>INSERT INTO FILMOGRAPHY (FILMOGRAPHY_ID, MOVIE_ID, ACTOR_ID, ACTOR_ROLE) VALUES ('FL-' || TO_CHAR(SYSDATE, 'YYYYMMDD-') || LPAD(SEQ_FILMOGRAPHY_PK.NEXTVAL, 6, 0), 'MV-20260226-000009', 'AC-20260226-000066', 'Saito');</v>
      </c>
      <c r="F71" s="1" t="s">
        <v>791</v>
      </c>
    </row>
    <row r="72" spans="1:6" x14ac:dyDescent="0.3">
      <c r="A72" s="3" t="s">
        <v>25</v>
      </c>
      <c r="B72" s="2" t="s">
        <v>404</v>
      </c>
      <c r="C72" s="2" t="s">
        <v>458</v>
      </c>
      <c r="D72" s="1" t="s">
        <v>317</v>
      </c>
      <c r="E72" s="1" t="str">
        <f t="shared" si="1"/>
        <v>INSERT INTO FILMOGRAPHY (FILMOGRAPHY_ID, MOVIE_ID, ACTOR_ID, ACTOR_ROLE) VALUES ('FL-' || TO_CHAR(SYSDATE, 'YYYYMMDD-') || LPAD(SEQ_FILMOGRAPHY_PK.NEXTVAL, 6, 0), 'MV-20260226-000009', 'AC-20260226-000067', 'Eames');</v>
      </c>
      <c r="F72" s="1" t="s">
        <v>792</v>
      </c>
    </row>
    <row r="73" spans="1:6" x14ac:dyDescent="0.3">
      <c r="A73" s="3" t="s">
        <v>27</v>
      </c>
      <c r="B73" s="2" t="s">
        <v>404</v>
      </c>
      <c r="C73" s="2" t="s">
        <v>459</v>
      </c>
      <c r="D73" s="1" t="s">
        <v>311</v>
      </c>
      <c r="E73" s="1" t="str">
        <f t="shared" si="1"/>
        <v>INSERT INTO FILMOGRAPHY (FILMOGRAPHY_ID, MOVIE_ID, ACTOR_ID, ACTOR_ROLE) VALUES ('FL-' || TO_CHAR(SYSDATE, 'YYYYMMDD-') || LPAD(SEQ_FILMOGRAPHY_PK.NEXTVAL, 6, 0), 'MV-20260226-000009', 'AC-20260226-000068', 'Ariadne');</v>
      </c>
      <c r="F73" s="1" t="s">
        <v>793</v>
      </c>
    </row>
    <row r="74" spans="1:6" x14ac:dyDescent="0.3">
      <c r="A74" s="3" t="s">
        <v>31</v>
      </c>
      <c r="B74" s="2" t="s">
        <v>404</v>
      </c>
      <c r="C74" s="2" t="s">
        <v>462</v>
      </c>
      <c r="D74" s="1" t="s">
        <v>320</v>
      </c>
      <c r="E74" s="1" t="str">
        <f t="shared" si="1"/>
        <v>INSERT INTO FILMOGRAPHY (FILMOGRAPHY_ID, MOVIE_ID, ACTOR_ID, ACTOR_ROLE) VALUES ('FL-' || TO_CHAR(SYSDATE, 'YYYYMMDD-') || LPAD(SEQ_FILMOGRAPHY_PK.NEXTVAL, 6, 0), 'MV-20260226-000009', 'AC-20260226-000069', 'Yusuf');</v>
      </c>
      <c r="F74" s="1" t="s">
        <v>794</v>
      </c>
    </row>
    <row r="75" spans="1:6" x14ac:dyDescent="0.3">
      <c r="A75" s="3" t="s">
        <v>28</v>
      </c>
      <c r="B75" s="2" t="s">
        <v>404</v>
      </c>
      <c r="C75" s="2" t="s">
        <v>460</v>
      </c>
      <c r="D75" s="1" t="s">
        <v>55</v>
      </c>
      <c r="E75" s="1" t="str">
        <f t="shared" si="1"/>
        <v>INSERT INTO FILMOGRAPHY (FILMOGRAPHY_ID, MOVIE_ID, ACTOR_ID, ACTOR_ROLE) VALUES ('FL-' || TO_CHAR(SYSDATE, 'YYYYMMDD-') || LPAD(SEQ_FILMOGRAPHY_PK.NEXTVAL, 6, 0), 'MV-20260226-000009', 'AC-20260226-000070', 'Robert Fischer, Jr.');</v>
      </c>
      <c r="F75" s="1" t="s">
        <v>795</v>
      </c>
    </row>
    <row r="76" spans="1:6" x14ac:dyDescent="0.3">
      <c r="A76" s="3" t="s">
        <v>32</v>
      </c>
      <c r="B76" s="2" t="s">
        <v>404</v>
      </c>
      <c r="C76" s="2" t="s">
        <v>463</v>
      </c>
      <c r="D76" s="1" t="s">
        <v>202</v>
      </c>
      <c r="E76" s="1" t="str">
        <f t="shared" si="1"/>
        <v>INSERT INTO FILMOGRAPHY (FILMOGRAPHY_ID, MOVIE_ID, ACTOR_ID, ACTOR_ROLE) VALUES ('FL-' || TO_CHAR(SYSDATE, 'YYYYMMDD-') || LPAD(SEQ_FILMOGRAPHY_PK.NEXTVAL, 6, 0), 'MV-20260226-000009', 'AC-20260226-000071', 'Peter Browing');</v>
      </c>
      <c r="F76" s="1" t="s">
        <v>796</v>
      </c>
    </row>
    <row r="77" spans="1:6" x14ac:dyDescent="0.3">
      <c r="A77" s="3" t="s">
        <v>33</v>
      </c>
      <c r="B77" s="2" t="s">
        <v>404</v>
      </c>
      <c r="C77" s="2" t="s">
        <v>485</v>
      </c>
      <c r="D77" s="1" t="s">
        <v>81</v>
      </c>
      <c r="E77" s="1" t="str">
        <f t="shared" si="1"/>
        <v>INSERT INTO FILMOGRAPHY (FILMOGRAPHY_ID, MOVIE_ID, ACTOR_ID, ACTOR_ROLE) VALUES ('FL-' || TO_CHAR(SYSDATE, 'YYYYMMDD-') || LPAD(SEQ_FILMOGRAPHY_PK.NEXTVAL, 6, 0), 'MV-20260226-000009', 'AC-20260226-000072', 'Mal Cobb');</v>
      </c>
      <c r="F77" s="1" t="s">
        <v>797</v>
      </c>
    </row>
    <row r="78" spans="1:6" x14ac:dyDescent="0.3">
      <c r="A78" s="3" t="s">
        <v>34</v>
      </c>
      <c r="B78" s="2" t="s">
        <v>400</v>
      </c>
      <c r="C78" s="2" t="s">
        <v>489</v>
      </c>
      <c r="D78" s="1" t="s">
        <v>95</v>
      </c>
      <c r="E78" s="1" t="str">
        <f t="shared" si="1"/>
        <v>INSERT INTO FILMOGRAPHY (FILMOGRAPHY_ID, MOVIE_ID, ACTOR_ID, ACTOR_ROLE) VALUES ('FL-' || TO_CHAR(SYSDATE, 'YYYYMMDD-') || LPAD(SEQ_FILMOGRAPHY_PK.NEXTVAL, 6, 0), 'MV-20260226-000010', 'AC-20260226-000073', 'John Wick');</v>
      </c>
      <c r="F78" s="1" t="s">
        <v>798</v>
      </c>
    </row>
    <row r="79" spans="1:6" x14ac:dyDescent="0.3">
      <c r="A79" s="3" t="s">
        <v>391</v>
      </c>
      <c r="B79" s="2" t="s">
        <v>400</v>
      </c>
      <c r="C79" s="2" t="s">
        <v>475</v>
      </c>
      <c r="D79" s="1" t="s">
        <v>204</v>
      </c>
      <c r="E79" s="1" t="str">
        <f t="shared" si="1"/>
        <v>INSERT INTO FILMOGRAPHY (FILMOGRAPHY_ID, MOVIE_ID, ACTOR_ID, ACTOR_ROLE) VALUES ('FL-' || TO_CHAR(SYSDATE, 'YYYYMMDD-') || LPAD(SEQ_FILMOGRAPHY_PK.NEXTVAL, 6, 0), 'MV-20260226-000010', 'AC-20260226-000074', 'Viggo Tarasov');</v>
      </c>
      <c r="F79" s="1" t="s">
        <v>799</v>
      </c>
    </row>
    <row r="80" spans="1:6" x14ac:dyDescent="0.3">
      <c r="A80" s="3" t="s">
        <v>394</v>
      </c>
      <c r="B80" s="2" t="s">
        <v>400</v>
      </c>
      <c r="C80" s="2" t="s">
        <v>482</v>
      </c>
      <c r="D80" s="1" t="s">
        <v>208</v>
      </c>
      <c r="E80" s="1" t="str">
        <f t="shared" si="1"/>
        <v>INSERT INTO FILMOGRAPHY (FILMOGRAPHY_ID, MOVIE_ID, ACTOR_ID, ACTOR_ROLE) VALUES ('FL-' || TO_CHAR(SYSDATE, 'YYYYMMDD-') || LPAD(SEQ_FILMOGRAPHY_PK.NEXTVAL, 6, 0), 'MV-20260226-000010', 'AC-20260226-000075', 'Iosef Tarasov');</v>
      </c>
      <c r="F80" s="1" t="s">
        <v>800</v>
      </c>
    </row>
    <row r="81" spans="1:6" x14ac:dyDescent="0.3">
      <c r="A81" s="3" t="s">
        <v>397</v>
      </c>
      <c r="B81" s="2" t="s">
        <v>400</v>
      </c>
      <c r="C81" s="2" t="s">
        <v>483</v>
      </c>
      <c r="D81" s="1" t="s">
        <v>321</v>
      </c>
      <c r="E81" s="1" t="str">
        <f t="shared" si="1"/>
        <v>INSERT INTO FILMOGRAPHY (FILMOGRAPHY_ID, MOVIE_ID, ACTOR_ID, ACTOR_ROLE) VALUES ('FL-' || TO_CHAR(SYSDATE, 'YYYYMMDD-') || LPAD(SEQ_FILMOGRAPHY_PK.NEXTVAL, 6, 0), 'MV-20260226-000010', 'AC-20260226-000076', 'Marcus');</v>
      </c>
      <c r="F81" s="1" t="s">
        <v>801</v>
      </c>
    </row>
    <row r="82" spans="1:6" x14ac:dyDescent="0.3">
      <c r="A82" s="3" t="s">
        <v>393</v>
      </c>
      <c r="B82" s="2" t="s">
        <v>400</v>
      </c>
      <c r="C82" s="2" t="s">
        <v>491</v>
      </c>
      <c r="D82" s="1" t="s">
        <v>155</v>
      </c>
      <c r="E82" s="1" t="str">
        <f t="shared" si="1"/>
        <v>INSERT INTO FILMOGRAPHY (FILMOGRAPHY_ID, MOVIE_ID, ACTOR_ID, ACTOR_ROLE) VALUES ('FL-' || TO_CHAR(SYSDATE, 'YYYYMMDD-') || LPAD(SEQ_FILMOGRAPHY_PK.NEXTVAL, 6, 0), 'MV-20260226-000010', 'AC-20260226-000077', 'Avi');</v>
      </c>
      <c r="F82" s="1" t="s">
        <v>802</v>
      </c>
    </row>
    <row r="83" spans="1:6" x14ac:dyDescent="0.3">
      <c r="A83" s="3" t="s">
        <v>395</v>
      </c>
      <c r="B83" s="2" t="s">
        <v>400</v>
      </c>
      <c r="C83" s="2" t="s">
        <v>493</v>
      </c>
      <c r="D83" s="1" t="s">
        <v>84</v>
      </c>
      <c r="E83" s="1" t="str">
        <f t="shared" si="1"/>
        <v>INSERT INTO FILMOGRAPHY (FILMOGRAPHY_ID, MOVIE_ID, ACTOR_ID, ACTOR_ROLE) VALUES ('FL-' || TO_CHAR(SYSDATE, 'YYYYMMDD-') || LPAD(SEQ_FILMOGRAPHY_PK.NEXTVAL, 6, 0), 'MV-20260226-000010', 'AC-20260226-000078', 'Ms. Perkins');</v>
      </c>
      <c r="F83" s="1" t="s">
        <v>803</v>
      </c>
    </row>
    <row r="84" spans="1:6" x14ac:dyDescent="0.3">
      <c r="A84" s="3" t="s">
        <v>392</v>
      </c>
      <c r="B84" s="2" t="s">
        <v>400</v>
      </c>
      <c r="C84" s="2" t="s">
        <v>477</v>
      </c>
      <c r="D84" s="1" t="s">
        <v>323</v>
      </c>
      <c r="E84" s="1" t="str">
        <f t="shared" si="1"/>
        <v>INSERT INTO FILMOGRAPHY (FILMOGRAPHY_ID, MOVIE_ID, ACTOR_ID, ACTOR_ROLE) VALUES ('FL-' || TO_CHAR(SYSDATE, 'YYYYMMDD-') || LPAD(SEQ_FILMOGRAPHY_PK.NEXTVAL, 6, 0), 'MV-20260226-000010', 'AC-20260226-000079', 'Gregori');</v>
      </c>
      <c r="F84" s="1" t="s">
        <v>804</v>
      </c>
    </row>
    <row r="85" spans="1:6" x14ac:dyDescent="0.3">
      <c r="A85" s="3" t="s">
        <v>396</v>
      </c>
      <c r="B85" s="2" t="s">
        <v>400</v>
      </c>
      <c r="C85" s="2" t="s">
        <v>481</v>
      </c>
      <c r="D85" s="1" t="s">
        <v>325</v>
      </c>
      <c r="E85" s="1" t="str">
        <f t="shared" si="1"/>
        <v>INSERT INTO FILMOGRAPHY (FILMOGRAPHY_ID, MOVIE_ID, ACTOR_ID, ACTOR_ROLE) VALUES ('FL-' || TO_CHAR(SYSDATE, 'YYYYMMDD-') || LPAD(SEQ_FILMOGRAPHY_PK.NEXTVAL, 6, 0), 'MV-20260226-000010', 'AC-20260226-000080', 'Victor');</v>
      </c>
      <c r="F85" s="1" t="s">
        <v>805</v>
      </c>
    </row>
    <row r="86" spans="1:6" x14ac:dyDescent="0.3">
      <c r="A86" s="3" t="s">
        <v>500</v>
      </c>
      <c r="B86" s="2" t="s">
        <v>400</v>
      </c>
      <c r="C86" s="2" t="s">
        <v>494</v>
      </c>
      <c r="D86" s="1" t="s">
        <v>315</v>
      </c>
      <c r="E86" s="1" t="str">
        <f t="shared" si="1"/>
        <v>INSERT INTO FILMOGRAPHY (FILMOGRAPHY_ID, MOVIE_ID, ACTOR_ID, ACTOR_ROLE) VALUES ('FL-' || TO_CHAR(SYSDATE, 'YYYYMMDD-') || LPAD(SEQ_FILMOGRAPHY_PK.NEXTVAL, 6, 0), 'MV-20260226-000010', 'AC-20260226-000081', 'Kirill');</v>
      </c>
      <c r="F86" s="1" t="s">
        <v>806</v>
      </c>
    </row>
  </sheetData>
  <phoneticPr fontId="5" type="noConversion"/>
  <pageMargins left="0.69999998807907104" right="0.69999998807907104" top="0.75" bottom="0.75" header="0.30000001192092896" footer="0.30000001192092896"/>
  <pageSetup paperSize="9" fitToWidth="0"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D22"/>
  <sheetViews>
    <sheetView zoomScaleNormal="100" zoomScaleSheetLayoutView="75" workbookViewId="0">
      <selection activeCell="D2" sqref="D2:D22"/>
    </sheetView>
  </sheetViews>
  <sheetFormatPr defaultColWidth="8.75" defaultRowHeight="16.5" x14ac:dyDescent="0.3"/>
  <cols>
    <col min="1" max="1" width="18.875" style="1" bestFit="1" customWidth="1"/>
    <col min="2" max="2" width="17.625" style="1" bestFit="1" customWidth="1"/>
    <col min="3" max="16384" width="8.75" style="1"/>
  </cols>
  <sheetData>
    <row r="1" spans="1:4" x14ac:dyDescent="0.3">
      <c r="A1" s="4" t="s">
        <v>35</v>
      </c>
      <c r="B1" s="1" t="s">
        <v>243</v>
      </c>
    </row>
    <row r="2" spans="1:4" x14ac:dyDescent="0.3">
      <c r="A2" s="4" t="s">
        <v>461</v>
      </c>
      <c r="B2" s="1" t="s">
        <v>240</v>
      </c>
      <c r="C2" s="1" t="str">
        <f>"INSERT INTO PRODUCERS (PRODUCER_ID, PRODUCER_NAME) VALUES ('PD-' || TO_CHAR(SYSDATE, 'YYYYMMDD-') || LPAD(SEQ_PRODUCERS_PK.NEXTVAL, 6, 0), '" &amp; B2 &amp; "');"</f>
        <v>INSERT INTO PRODUCERS (PRODUCER_ID, PRODUCER_NAME) VALUES ('PD-' || TO_CHAR(SYSDATE, 'YYYYMMDD-') || LPAD(SEQ_PRODUCERS_PK.NEXTVAL, 6, 0), '매기 강');</v>
      </c>
      <c r="D2" s="1" t="s">
        <v>701</v>
      </c>
    </row>
    <row r="3" spans="1:4" x14ac:dyDescent="0.3">
      <c r="A3" s="4" t="s">
        <v>473</v>
      </c>
      <c r="B3" s="1" t="s">
        <v>251</v>
      </c>
      <c r="C3" s="1" t="str">
        <f t="shared" ref="C3:C22" si="0">"INSERT INTO PRODUCERS (PRODUCER_ID, PRODUCER_NAME) VALUES ('PD-' || TO_CHAR(SYSDATE, 'YYYYMMDD-') || LPAD(SEQ_PRODUCERS_PK.NEXTVAL, 6, 0), '" &amp; B3 &amp; "');"</f>
        <v>INSERT INTO PRODUCERS (PRODUCER_ID, PRODUCER_NAME) VALUES ('PD-' || TO_CHAR(SYSDATE, 'YYYYMMDD-') || LPAD(SEQ_PRODUCERS_PK.NEXTVAL, 6, 0), '크리스아펠한스');</v>
      </c>
      <c r="D3" s="1" t="s">
        <v>702</v>
      </c>
    </row>
    <row r="4" spans="1:4" x14ac:dyDescent="0.3">
      <c r="A4" s="4" t="s">
        <v>476</v>
      </c>
      <c r="B4" s="1" t="s">
        <v>244</v>
      </c>
      <c r="C4" s="1" t="str">
        <f t="shared" si="0"/>
        <v>INSERT INTO PRODUCERS (PRODUCER_ID, PRODUCER_NAME) VALUES ('PD-' || TO_CHAR(SYSDATE, 'YYYYMMDD-') || LPAD(SEQ_PRODUCERS_PK.NEXTVAL, 6, 0), '다나 히메네스');</v>
      </c>
      <c r="D4" s="1" t="s">
        <v>703</v>
      </c>
    </row>
    <row r="5" spans="1:4" x14ac:dyDescent="0.3">
      <c r="A5" s="4" t="s">
        <v>474</v>
      </c>
      <c r="B5" s="1" t="s">
        <v>230</v>
      </c>
      <c r="C5" s="1" t="str">
        <f t="shared" si="0"/>
        <v>INSERT INTO PRODUCERS (PRODUCER_ID, PRODUCER_NAME) VALUES ('PD-' || TO_CHAR(SYSDATE, 'YYYYMMDD-') || LPAD(SEQ_PRODUCERS_PK.NEXTVAL, 6, 0), '해나 맥메찬');</v>
      </c>
      <c r="D5" s="1" t="s">
        <v>704</v>
      </c>
    </row>
    <row r="6" spans="1:4" x14ac:dyDescent="0.3">
      <c r="A6" s="4" t="s">
        <v>478</v>
      </c>
      <c r="B6" s="1" t="s">
        <v>105</v>
      </c>
      <c r="C6" s="1" t="str">
        <f t="shared" si="0"/>
        <v>INSERT INTO PRODUCERS (PRODUCER_ID, PRODUCER_NAME) VALUES ('PD-' || TO_CHAR(SYSDATE, 'YYYYMMDD-') || LPAD(SEQ_PRODUCERS_PK.NEXTVAL, 6, 0), 'Marc Behm');</v>
      </c>
      <c r="D6" s="1" t="s">
        <v>705</v>
      </c>
    </row>
    <row r="7" spans="1:4" x14ac:dyDescent="0.3">
      <c r="A7" s="4" t="s">
        <v>479</v>
      </c>
      <c r="B7" s="1" t="s">
        <v>179</v>
      </c>
      <c r="C7" s="1" t="str">
        <f t="shared" si="0"/>
        <v>INSERT INTO PRODUCERS (PRODUCER_ID, PRODUCER_NAME) VALUES ('PD-' || TO_CHAR(SYSDATE, 'YYYYMMDD-') || LPAD(SEQ_PRODUCERS_PK.NEXTVAL, 6, 0), 'Richard Lester');</v>
      </c>
      <c r="D7" s="1" t="s">
        <v>706</v>
      </c>
    </row>
    <row r="8" spans="1:4" x14ac:dyDescent="0.3">
      <c r="A8" s="4" t="s">
        <v>480</v>
      </c>
      <c r="B8" s="1" t="s">
        <v>196</v>
      </c>
      <c r="C8" s="1" t="str">
        <f t="shared" si="0"/>
        <v>INSERT INTO PRODUCERS (PRODUCER_ID, PRODUCER_NAME) VALUES ('PD-' || TO_CHAR(SYSDATE, 'YYYYMMDD-') || LPAD(SEQ_PRODUCERS_PK.NEXTVAL, 6, 0), 'Charles Wood');</v>
      </c>
      <c r="D8" s="1" t="s">
        <v>707</v>
      </c>
    </row>
    <row r="9" spans="1:4" x14ac:dyDescent="0.3">
      <c r="A9" s="4" t="s">
        <v>484</v>
      </c>
      <c r="B9" s="1" t="s">
        <v>116</v>
      </c>
      <c r="C9" s="1" t="str">
        <f t="shared" si="0"/>
        <v>INSERT INTO PRODUCERS (PRODUCER_ID, PRODUCER_NAME) VALUES ('PD-' || TO_CHAR(SYSDATE, 'YYYYMMDD-') || LPAD(SEQ_PRODUCERS_PK.NEXTVAL, 6, 0), '요시하라 타츠야');</v>
      </c>
      <c r="D9" s="1" t="s">
        <v>708</v>
      </c>
    </row>
    <row r="10" spans="1:4" x14ac:dyDescent="0.3">
      <c r="A10" s="4" t="s">
        <v>486</v>
      </c>
      <c r="B10" s="1" t="s">
        <v>294</v>
      </c>
      <c r="C10" s="1" t="str">
        <f t="shared" si="0"/>
        <v>INSERT INTO PRODUCERS (PRODUCER_ID, PRODUCER_NAME) VALUES ('PD-' || TO_CHAR(SYSDATE, 'YYYYMMDD-') || LPAD(SEQ_PRODUCERS_PK.NEXTVAL, 6, 0), '세코 히로시');</v>
      </c>
      <c r="D10" s="1" t="s">
        <v>709</v>
      </c>
    </row>
    <row r="11" spans="1:4" x14ac:dyDescent="0.3">
      <c r="A11" s="4" t="s">
        <v>487</v>
      </c>
      <c r="B11" s="1" t="s">
        <v>198</v>
      </c>
      <c r="C11" s="1" t="str">
        <f t="shared" si="0"/>
        <v>INSERT INTO PRODUCERS (PRODUCER_ID, PRODUCER_NAME) VALUES ('PD-' || TO_CHAR(SYSDATE, 'YYYYMMDD-') || LPAD(SEQ_PRODUCERS_PK.NEXTVAL, 6, 0), 'John De Bello');</v>
      </c>
      <c r="D11" s="1" t="s">
        <v>710</v>
      </c>
    </row>
    <row r="12" spans="1:4" x14ac:dyDescent="0.3">
      <c r="A12" s="4" t="s">
        <v>488</v>
      </c>
      <c r="B12" s="1" t="s">
        <v>209</v>
      </c>
      <c r="C12" s="1" t="str">
        <f t="shared" si="0"/>
        <v>INSERT INTO PRODUCERS (PRODUCER_ID, PRODUCER_NAME) VALUES ('PD-' || TO_CHAR(SYSDATE, 'YYYYMMDD-') || LPAD(SEQ_PRODUCERS_PK.NEXTVAL, 6, 0), 'Costa Dillon');</v>
      </c>
      <c r="D12" s="1" t="s">
        <v>711</v>
      </c>
    </row>
    <row r="13" spans="1:4" x14ac:dyDescent="0.3">
      <c r="A13" s="4" t="s">
        <v>490</v>
      </c>
      <c r="B13" s="1" t="s">
        <v>217</v>
      </c>
      <c r="C13" s="1" t="str">
        <f t="shared" si="0"/>
        <v>INSERT INTO PRODUCERS (PRODUCER_ID, PRODUCER_NAME) VALUES ('PD-' || TO_CHAR(SYSDATE, 'YYYYMMDD-') || LPAD(SEQ_PRODUCERS_PK.NEXTVAL, 6, 0), 'Rick Rockwell');</v>
      </c>
      <c r="D13" s="1" t="s">
        <v>712</v>
      </c>
    </row>
    <row r="14" spans="1:4" x14ac:dyDescent="0.3">
      <c r="A14" s="4" t="s">
        <v>496</v>
      </c>
      <c r="B14" s="1" t="s">
        <v>72</v>
      </c>
      <c r="C14" s="1" t="str">
        <f t="shared" si="0"/>
        <v>INSERT INTO PRODUCERS (PRODUCER_ID, PRODUCER_NAME) VALUES ('PD-' || TO_CHAR(SYSDATE, 'YYYYMMDD-') || LPAD(SEQ_PRODUCERS_PK.NEXTVAL, 6, 0), 'J. Stephen Peace');</v>
      </c>
      <c r="D14" s="1" t="s">
        <v>713</v>
      </c>
    </row>
    <row r="15" spans="1:4" x14ac:dyDescent="0.3">
      <c r="A15" s="4" t="s">
        <v>499</v>
      </c>
      <c r="B15" s="1" t="s">
        <v>288</v>
      </c>
      <c r="C15" s="1" t="str">
        <f t="shared" si="0"/>
        <v>INSERT INTO PRODUCERS (PRODUCER_ID, PRODUCER_NAME) VALUES ('PD-' || TO_CHAR(SYSDATE, 'YYYYMMDD-') || LPAD(SEQ_PRODUCERS_PK.NEXTVAL, 6, 0), '샘 멘데스');</v>
      </c>
      <c r="D15" s="1" t="s">
        <v>714</v>
      </c>
    </row>
    <row r="16" spans="1:4" x14ac:dyDescent="0.3">
      <c r="A16" s="4" t="s">
        <v>498</v>
      </c>
      <c r="B16" s="1" t="s">
        <v>330</v>
      </c>
      <c r="C16" s="1" t="str">
        <f t="shared" si="0"/>
        <v>INSERT INTO PRODUCERS (PRODUCER_ID, PRODUCER_NAME) VALUES ('PD-' || TO_CHAR(SYSDATE, 'YYYYMMDD-') || LPAD(SEQ_PRODUCERS_PK.NEXTVAL, 6, 0), 'Krysty Wilson-Cairns');</v>
      </c>
      <c r="D16" s="1" t="s">
        <v>715</v>
      </c>
    </row>
    <row r="17" spans="1:4" x14ac:dyDescent="0.3">
      <c r="A17" s="4" t="s">
        <v>497</v>
      </c>
      <c r="B17" s="1" t="s">
        <v>78</v>
      </c>
      <c r="C17" s="1" t="str">
        <f t="shared" si="0"/>
        <v>INSERT INTO PRODUCERS (PRODUCER_ID, PRODUCER_NAME) VALUES ('PD-' || TO_CHAR(SYSDATE, 'YYYYMMDD-') || LPAD(SEQ_PRODUCERS_PK.NEXTVAL, 6, 0), '크리스토퍼 놀란');</v>
      </c>
      <c r="D17" s="1" t="s">
        <v>716</v>
      </c>
    </row>
    <row r="18" spans="1:4" x14ac:dyDescent="0.3">
      <c r="A18" s="4" t="s">
        <v>495</v>
      </c>
      <c r="B18" s="1" t="s">
        <v>79</v>
      </c>
      <c r="C18" s="1" t="str">
        <f t="shared" si="0"/>
        <v>INSERT INTO PRODUCERS (PRODUCER_ID, PRODUCER_NAME) VALUES ('PD-' || TO_CHAR(SYSDATE, 'YYYYMMDD-') || LPAD(SEQ_PRODUCERS_PK.NEXTVAL, 6, 0), '채드 스타헬스키');</v>
      </c>
      <c r="D18" s="1" t="s">
        <v>717</v>
      </c>
    </row>
    <row r="19" spans="1:4" x14ac:dyDescent="0.3">
      <c r="A19" s="4" t="s">
        <v>492</v>
      </c>
      <c r="B19" s="1" t="s">
        <v>203</v>
      </c>
      <c r="C19" s="1" t="str">
        <f t="shared" si="0"/>
        <v>INSERT INTO PRODUCERS (PRODUCER_ID, PRODUCER_NAME) VALUES ('PD-' || TO_CHAR(SYSDATE, 'YYYYMMDD-') || LPAD(SEQ_PRODUCERS_PK.NEXTVAL, 6, 0), 'Derek Kolstad');</v>
      </c>
      <c r="D19" s="1" t="s">
        <v>718</v>
      </c>
    </row>
    <row r="20" spans="1:4" x14ac:dyDescent="0.3">
      <c r="A20" s="4" t="s">
        <v>532</v>
      </c>
      <c r="B20" s="1" t="s">
        <v>528</v>
      </c>
      <c r="C20" s="1" t="str">
        <f t="shared" si="0"/>
        <v>INSERT INTO PRODUCERS (PRODUCER_ID, PRODUCER_NAME) VALUES ('PD-' || TO_CHAR(SYSDATE, 'YYYYMMDD-') || LPAD(SEQ_PRODUCERS_PK.NEXTVAL, 6, 0), '쿠엔틴 타란티노');</v>
      </c>
      <c r="D20" s="1" t="s">
        <v>719</v>
      </c>
    </row>
    <row r="21" spans="1:4" x14ac:dyDescent="0.3">
      <c r="A21" s="4" t="s">
        <v>531</v>
      </c>
      <c r="B21" s="1" t="s">
        <v>169</v>
      </c>
      <c r="C21" s="1" t="str">
        <f t="shared" si="0"/>
        <v>INSERT INTO PRODUCERS (PRODUCER_ID, PRODUCER_NAME) VALUES ('PD-' || TO_CHAR(SYSDATE, 'YYYYMMDD-') || LPAD(SEQ_PRODUCERS_PK.NEXTVAL, 6, 0), '샘 하그레이브');</v>
      </c>
      <c r="D21" s="1" t="s">
        <v>720</v>
      </c>
    </row>
    <row r="22" spans="1:4" x14ac:dyDescent="0.3">
      <c r="A22" s="4" t="s">
        <v>530</v>
      </c>
      <c r="B22" s="1" t="s">
        <v>39</v>
      </c>
      <c r="C22" s="1" t="str">
        <f t="shared" si="0"/>
        <v>INSERT INTO PRODUCERS (PRODUCER_ID, PRODUCER_NAME) VALUES ('PD-' || TO_CHAR(SYSDATE, 'YYYYMMDD-') || LPAD(SEQ_PRODUCERS_PK.NEXTVAL, 6, 0), '조 루소');</v>
      </c>
      <c r="D22" s="1" t="s">
        <v>721</v>
      </c>
    </row>
  </sheetData>
  <phoneticPr fontId="5" type="noConversion"/>
  <pageMargins left="0.69999998807907104" right="0.69999998807907104" top="0.75" bottom="0.75" header="0.30000001192092896" footer="0.30000001192092896"/>
  <pageSetup paperSize="9"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34"/>
  <sheetViews>
    <sheetView topLeftCell="E22" zoomScaleNormal="100" zoomScaleSheetLayoutView="75" workbookViewId="0">
      <selection activeCell="I2" sqref="I2:I34"/>
    </sheetView>
  </sheetViews>
  <sheetFormatPr defaultColWidth="8.75" defaultRowHeight="16.5" x14ac:dyDescent="0.3"/>
  <cols>
    <col min="1" max="1" width="6.5" style="10" bestFit="1" customWidth="1"/>
    <col min="2" max="2" width="19.375" style="11" bestFit="1" customWidth="1"/>
    <col min="3" max="3" width="19.375" style="1" bestFit="1" customWidth="1"/>
    <col min="4" max="4" width="18.875" style="1" bestFit="1" customWidth="1"/>
    <col min="5" max="5" width="19.375" style="1" bestFit="1" customWidth="1"/>
    <col min="6" max="7" width="10.75" style="1" bestFit="1" customWidth="1"/>
    <col min="8" max="16384" width="8.75" style="1"/>
  </cols>
  <sheetData>
    <row r="1" spans="1:9" x14ac:dyDescent="0.3">
      <c r="A1" s="12" t="s">
        <v>255</v>
      </c>
      <c r="B1" s="13" t="s">
        <v>45</v>
      </c>
      <c r="C1" s="13" t="s">
        <v>45</v>
      </c>
      <c r="D1" s="14" t="s">
        <v>231</v>
      </c>
      <c r="E1" s="14" t="s">
        <v>250</v>
      </c>
      <c r="F1" s="15" t="s">
        <v>236</v>
      </c>
      <c r="G1" s="15" t="s">
        <v>274</v>
      </c>
    </row>
    <row r="2" spans="1:9" x14ac:dyDescent="0.3">
      <c r="A2" s="16" t="s">
        <v>0</v>
      </c>
      <c r="B2" s="11" t="s">
        <v>12</v>
      </c>
      <c r="C2" s="11" t="s">
        <v>12</v>
      </c>
      <c r="D2" s="17" t="s">
        <v>461</v>
      </c>
      <c r="E2" s="17" t="s">
        <v>36</v>
      </c>
      <c r="F2" s="1" t="s">
        <v>73</v>
      </c>
      <c r="G2" s="1" t="s">
        <v>147</v>
      </c>
      <c r="H2" s="1" t="str">
        <f>"INSERT INTO MAKE (MAKE_ID, PRODUCER_ID, MOVIE_ID, PRODUCER_ROLE, PRODUCER_PART) VALUES ('MK-' || TO_CHAR(SYSDATE, 'YYYYMMDD-') || LPAD(SEQ_MAKE_PK.NEXTVAL, 6, 0), '" &amp; _xlfn.TEXTJOIN("', '",FALSE,D2:G2) &amp; "');"</f>
        <v>INSERT INTO MAKE (MAKE_ID, PRODUCER_ID, MOVIE_ID, PRODUCER_ROLE, PRODUCER_PART) VALUES ('MK-' || TO_CHAR(SYSDATE, 'YYYYMMDD-') || LPAD(SEQ_MAKE_PK.NEXTVAL, 6, 0), 'PD-20260226-000001', 'MV-20260226-000001', 'Director', '연출');</v>
      </c>
      <c r="I2" s="1" t="s">
        <v>668</v>
      </c>
    </row>
    <row r="3" spans="1:9" x14ac:dyDescent="0.3">
      <c r="A3" s="16" t="s">
        <v>5</v>
      </c>
      <c r="B3" s="11" t="s">
        <v>166</v>
      </c>
      <c r="C3" s="11" t="s">
        <v>166</v>
      </c>
      <c r="D3" s="17" t="s">
        <v>461</v>
      </c>
      <c r="E3" s="17" t="s">
        <v>36</v>
      </c>
      <c r="F3" s="1" t="s">
        <v>74</v>
      </c>
      <c r="G3" s="1" t="s">
        <v>145</v>
      </c>
      <c r="H3" s="1" t="str">
        <f t="shared" ref="H3:H34" si="0">"INSERT INTO MAKE (MAKE_ID, PRODUCER_ID, MOVIE_ID, PRODUCER_ROLE, PRODUCER_PART) VALUES ('MK-' || TO_CHAR(SYSDATE, 'YYYYMMDD-') || LPAD(SEQ_MAKE_PK.NEXTVAL, 6, 0), '" &amp; _xlfn.TEXTJOIN("', '",FALSE,D3:G3) &amp; "');"</f>
        <v>INSERT INTO MAKE (MAKE_ID, PRODUCER_ID, MOVIE_ID, PRODUCER_ROLE, PRODUCER_PART) VALUES ('MK-' || TO_CHAR(SYSDATE, 'YYYYMMDD-') || LPAD(SEQ_MAKE_PK.NEXTVAL, 6, 0), 'PD-20260226-000001', 'MV-20260226-000001', 'Screenplay', '각본');</v>
      </c>
      <c r="I3" s="1" t="s">
        <v>669</v>
      </c>
    </row>
    <row r="4" spans="1:9" x14ac:dyDescent="0.3">
      <c r="A4" s="16" t="s">
        <v>7</v>
      </c>
      <c r="B4" s="11" t="s">
        <v>163</v>
      </c>
      <c r="C4" s="11" t="s">
        <v>163</v>
      </c>
      <c r="D4" s="17" t="s">
        <v>461</v>
      </c>
      <c r="E4" s="17" t="s">
        <v>36</v>
      </c>
      <c r="F4" s="1" t="s">
        <v>237</v>
      </c>
      <c r="G4" s="1" t="s">
        <v>145</v>
      </c>
      <c r="H4" s="1" t="str">
        <f t="shared" si="0"/>
        <v>INSERT INTO MAKE (MAKE_ID, PRODUCER_ID, MOVIE_ID, PRODUCER_ROLE, PRODUCER_PART) VALUES ('MK-' || TO_CHAR(SYSDATE, 'YYYYMMDD-') || LPAD(SEQ_MAKE_PK.NEXTVAL, 6, 0), 'PD-20260226-000001', 'MV-20260226-000001', 'Story', '각본');</v>
      </c>
      <c r="I4" s="1" t="s">
        <v>670</v>
      </c>
    </row>
    <row r="5" spans="1:9" x14ac:dyDescent="0.3">
      <c r="A5" s="16" t="s">
        <v>8</v>
      </c>
      <c r="B5" s="11" t="s">
        <v>161</v>
      </c>
      <c r="C5" s="11" t="s">
        <v>161</v>
      </c>
      <c r="D5" s="17" t="s">
        <v>461</v>
      </c>
      <c r="E5" s="17" t="s">
        <v>398</v>
      </c>
      <c r="F5" s="1" t="s">
        <v>73</v>
      </c>
      <c r="G5" s="20"/>
      <c r="H5" s="1" t="str">
        <f t="shared" si="0"/>
        <v>INSERT INTO MAKE (MAKE_ID, PRODUCER_ID, MOVIE_ID, PRODUCER_ROLE, PRODUCER_PART) VALUES ('MK-' || TO_CHAR(SYSDATE, 'YYYYMMDD-') || LPAD(SEQ_MAKE_PK.NEXTVAL, 6, 0), 'PD-20260226-000001', 'MV-20260226-000003', 'Director', '');</v>
      </c>
      <c r="I5" s="1" t="s">
        <v>671</v>
      </c>
    </row>
    <row r="6" spans="1:9" x14ac:dyDescent="0.3">
      <c r="A6" s="16" t="s">
        <v>4</v>
      </c>
      <c r="B6" s="11" t="s">
        <v>162</v>
      </c>
      <c r="C6" s="11" t="s">
        <v>162</v>
      </c>
      <c r="D6" s="17" t="s">
        <v>461</v>
      </c>
      <c r="E6" s="17" t="s">
        <v>398</v>
      </c>
      <c r="F6" s="1" t="s">
        <v>261</v>
      </c>
      <c r="G6" s="20"/>
      <c r="H6" s="1" t="str">
        <f t="shared" si="0"/>
        <v>INSERT INTO MAKE (MAKE_ID, PRODUCER_ID, MOVIE_ID, PRODUCER_ROLE, PRODUCER_PART) VALUES ('MK-' || TO_CHAR(SYSDATE, 'YYYYMMDD-') || LPAD(SEQ_MAKE_PK.NEXTVAL, 6, 0), 'PD-20260226-000001', 'MV-20260226-000003', 'Writer', '');</v>
      </c>
      <c r="I6" s="1" t="s">
        <v>672</v>
      </c>
    </row>
    <row r="7" spans="1:9" x14ac:dyDescent="0.3">
      <c r="A7" s="16" t="s">
        <v>10</v>
      </c>
      <c r="B7" s="11" t="s">
        <v>164</v>
      </c>
      <c r="C7" s="11" t="s">
        <v>164</v>
      </c>
      <c r="D7" s="17" t="s">
        <v>473</v>
      </c>
      <c r="E7" s="17" t="s">
        <v>36</v>
      </c>
      <c r="F7" s="1" t="s">
        <v>73</v>
      </c>
      <c r="G7" s="1" t="s">
        <v>147</v>
      </c>
      <c r="H7" s="1" t="str">
        <f t="shared" si="0"/>
        <v>INSERT INTO MAKE (MAKE_ID, PRODUCER_ID, MOVIE_ID, PRODUCER_ROLE, PRODUCER_PART) VALUES ('MK-' || TO_CHAR(SYSDATE, 'YYYYMMDD-') || LPAD(SEQ_MAKE_PK.NEXTVAL, 6, 0), 'PD-20260226-000002', 'MV-20260226-000001', 'Director', '연출');</v>
      </c>
      <c r="I7" s="1" t="s">
        <v>673</v>
      </c>
    </row>
    <row r="8" spans="1:9" x14ac:dyDescent="0.3">
      <c r="A8" s="16" t="s">
        <v>9</v>
      </c>
      <c r="B8" s="11" t="s">
        <v>165</v>
      </c>
      <c r="C8" s="11" t="s">
        <v>165</v>
      </c>
      <c r="D8" s="17" t="s">
        <v>473</v>
      </c>
      <c r="E8" s="17" t="s">
        <v>36</v>
      </c>
      <c r="F8" s="1" t="s">
        <v>74</v>
      </c>
      <c r="G8" s="1" t="s">
        <v>145</v>
      </c>
      <c r="H8" s="1" t="str">
        <f t="shared" si="0"/>
        <v>INSERT INTO MAKE (MAKE_ID, PRODUCER_ID, MOVIE_ID, PRODUCER_ROLE, PRODUCER_PART) VALUES ('MK-' || TO_CHAR(SYSDATE, 'YYYYMMDD-') || LPAD(SEQ_MAKE_PK.NEXTVAL, 6, 0), 'PD-20260226-000002', 'MV-20260226-000001', 'Screenplay', '각본');</v>
      </c>
      <c r="I8" s="1" t="s">
        <v>674</v>
      </c>
    </row>
    <row r="9" spans="1:9" x14ac:dyDescent="0.3">
      <c r="A9" s="16" t="s">
        <v>3</v>
      </c>
      <c r="B9" s="11" t="s">
        <v>18</v>
      </c>
      <c r="C9" s="11" t="s">
        <v>18</v>
      </c>
      <c r="D9" s="17" t="s">
        <v>473</v>
      </c>
      <c r="E9" s="17" t="s">
        <v>398</v>
      </c>
      <c r="F9" s="1" t="s">
        <v>73</v>
      </c>
      <c r="G9" s="20"/>
      <c r="H9" s="1" t="str">
        <f t="shared" si="0"/>
        <v>INSERT INTO MAKE (MAKE_ID, PRODUCER_ID, MOVIE_ID, PRODUCER_ROLE, PRODUCER_PART) VALUES ('MK-' || TO_CHAR(SYSDATE, 'YYYYMMDD-') || LPAD(SEQ_MAKE_PK.NEXTVAL, 6, 0), 'PD-20260226-000002', 'MV-20260226-000003', 'Director', '');</v>
      </c>
      <c r="I9" s="1" t="s">
        <v>675</v>
      </c>
    </row>
    <row r="10" spans="1:9" x14ac:dyDescent="0.3">
      <c r="A10" s="16" t="s">
        <v>2</v>
      </c>
      <c r="B10" s="11" t="s">
        <v>16</v>
      </c>
      <c r="C10" s="11" t="s">
        <v>16</v>
      </c>
      <c r="D10" s="17" t="s">
        <v>473</v>
      </c>
      <c r="E10" s="17" t="s">
        <v>398</v>
      </c>
      <c r="F10" s="1" t="s">
        <v>261</v>
      </c>
      <c r="G10" s="20"/>
      <c r="H10" s="1" t="str">
        <f t="shared" si="0"/>
        <v>INSERT INTO MAKE (MAKE_ID, PRODUCER_ID, MOVIE_ID, PRODUCER_ROLE, PRODUCER_PART) VALUES ('MK-' || TO_CHAR(SYSDATE, 'YYYYMMDD-') || LPAD(SEQ_MAKE_PK.NEXTVAL, 6, 0), 'PD-20260226-000002', 'MV-20260226-000003', 'Writer', '');</v>
      </c>
      <c r="I10" s="1" t="s">
        <v>676</v>
      </c>
    </row>
    <row r="11" spans="1:9" x14ac:dyDescent="0.3">
      <c r="A11" s="16" t="s">
        <v>11</v>
      </c>
      <c r="B11" s="11" t="s">
        <v>17</v>
      </c>
      <c r="C11" s="11" t="s">
        <v>17</v>
      </c>
      <c r="D11" s="17" t="s">
        <v>476</v>
      </c>
      <c r="E11" s="17" t="s">
        <v>36</v>
      </c>
      <c r="F11" s="1" t="s">
        <v>74</v>
      </c>
      <c r="G11" s="1" t="s">
        <v>145</v>
      </c>
      <c r="H11" s="1" t="str">
        <f t="shared" si="0"/>
        <v>INSERT INTO MAKE (MAKE_ID, PRODUCER_ID, MOVIE_ID, PRODUCER_ROLE, PRODUCER_PART) VALUES ('MK-' || TO_CHAR(SYSDATE, 'YYYYMMDD-') || LPAD(SEQ_MAKE_PK.NEXTVAL, 6, 0), 'PD-20260226-000003', 'MV-20260226-000001', 'Screenplay', '각본');</v>
      </c>
      <c r="I11" s="1" t="s">
        <v>677</v>
      </c>
    </row>
    <row r="12" spans="1:9" x14ac:dyDescent="0.3">
      <c r="A12" s="16" t="s">
        <v>6</v>
      </c>
      <c r="B12" s="11" t="s">
        <v>14</v>
      </c>
      <c r="C12" s="11" t="s">
        <v>14</v>
      </c>
      <c r="D12" s="17" t="s">
        <v>474</v>
      </c>
      <c r="E12" s="17" t="s">
        <v>36</v>
      </c>
      <c r="F12" s="1" t="s">
        <v>74</v>
      </c>
      <c r="G12" s="1" t="s">
        <v>145</v>
      </c>
      <c r="H12" s="1" t="str">
        <f t="shared" si="0"/>
        <v>INSERT INTO MAKE (MAKE_ID, PRODUCER_ID, MOVIE_ID, PRODUCER_ROLE, PRODUCER_PART) VALUES ('MK-' || TO_CHAR(SYSDATE, 'YYYYMMDD-') || LPAD(SEQ_MAKE_PK.NEXTVAL, 6, 0), 'PD-20260226-000004', 'MV-20260226-000001', 'Screenplay', '각본');</v>
      </c>
      <c r="I12" s="1" t="s">
        <v>678</v>
      </c>
    </row>
    <row r="13" spans="1:9" x14ac:dyDescent="0.3">
      <c r="A13" s="16" t="s">
        <v>1</v>
      </c>
      <c r="B13" s="11" t="s">
        <v>13</v>
      </c>
      <c r="C13" s="11" t="s">
        <v>13</v>
      </c>
      <c r="D13" s="17" t="s">
        <v>478</v>
      </c>
      <c r="E13" s="17" t="s">
        <v>406</v>
      </c>
      <c r="F13" s="1" t="s">
        <v>74</v>
      </c>
      <c r="G13" s="1" t="s">
        <v>145</v>
      </c>
      <c r="H13" s="1" t="str">
        <f t="shared" si="0"/>
        <v>INSERT INTO MAKE (MAKE_ID, PRODUCER_ID, MOVIE_ID, PRODUCER_ROLE, PRODUCER_PART) VALUES ('MK-' || TO_CHAR(SYSDATE, 'YYYYMMDD-') || LPAD(SEQ_MAKE_PK.NEXTVAL, 6, 0), 'PD-20260226-000005', 'MV-20260226-000002', 'Screenplay', '각본');</v>
      </c>
      <c r="I13" s="1" t="s">
        <v>679</v>
      </c>
    </row>
    <row r="14" spans="1:9" x14ac:dyDescent="0.3">
      <c r="A14" s="16" t="s">
        <v>407</v>
      </c>
      <c r="B14" s="11" t="s">
        <v>15</v>
      </c>
      <c r="C14" s="11" t="s">
        <v>15</v>
      </c>
      <c r="D14" s="17" t="s">
        <v>478</v>
      </c>
      <c r="E14" s="17" t="s">
        <v>406</v>
      </c>
      <c r="F14" s="1" t="s">
        <v>237</v>
      </c>
      <c r="G14" s="1" t="s">
        <v>145</v>
      </c>
      <c r="H14" s="1" t="str">
        <f t="shared" si="0"/>
        <v>INSERT INTO MAKE (MAKE_ID, PRODUCER_ID, MOVIE_ID, PRODUCER_ROLE, PRODUCER_PART) VALUES ('MK-' || TO_CHAR(SYSDATE, 'YYYYMMDD-') || LPAD(SEQ_MAKE_PK.NEXTVAL, 6, 0), 'PD-20260226-000005', 'MV-20260226-000002', 'Story', '각본');</v>
      </c>
      <c r="I14" s="1" t="s">
        <v>680</v>
      </c>
    </row>
    <row r="15" spans="1:9" x14ac:dyDescent="0.3">
      <c r="A15" s="16" t="s">
        <v>408</v>
      </c>
      <c r="B15" s="11" t="s">
        <v>24</v>
      </c>
      <c r="C15" s="11" t="s">
        <v>24</v>
      </c>
      <c r="D15" s="17" t="s">
        <v>479</v>
      </c>
      <c r="E15" s="17" t="s">
        <v>406</v>
      </c>
      <c r="F15" s="1" t="s">
        <v>73</v>
      </c>
      <c r="G15" s="1" t="s">
        <v>147</v>
      </c>
      <c r="H15" s="1" t="str">
        <f t="shared" si="0"/>
        <v>INSERT INTO MAKE (MAKE_ID, PRODUCER_ID, MOVIE_ID, PRODUCER_ROLE, PRODUCER_PART) VALUES ('MK-' || TO_CHAR(SYSDATE, 'YYYYMMDD-') || LPAD(SEQ_MAKE_PK.NEXTVAL, 6, 0), 'PD-20260226-000006', 'MV-20260226-000002', 'Director', '연출');</v>
      </c>
      <c r="I15" s="1" t="s">
        <v>681</v>
      </c>
    </row>
    <row r="16" spans="1:9" x14ac:dyDescent="0.3">
      <c r="A16" s="16" t="s">
        <v>409</v>
      </c>
      <c r="B16" s="11" t="s">
        <v>23</v>
      </c>
      <c r="C16" s="11" t="s">
        <v>23</v>
      </c>
      <c r="D16" s="17" t="s">
        <v>480</v>
      </c>
      <c r="E16" s="17" t="s">
        <v>406</v>
      </c>
      <c r="F16" s="1" t="s">
        <v>74</v>
      </c>
      <c r="G16" s="1" t="s">
        <v>145</v>
      </c>
      <c r="H16" s="1" t="str">
        <f t="shared" si="0"/>
        <v>INSERT INTO MAKE (MAKE_ID, PRODUCER_ID, MOVIE_ID, PRODUCER_ROLE, PRODUCER_PART) VALUES ('MK-' || TO_CHAR(SYSDATE, 'YYYYMMDD-') || LPAD(SEQ_MAKE_PK.NEXTVAL, 6, 0), 'PD-20260226-000007', 'MV-20260226-000002', 'Screenplay', '각본');</v>
      </c>
      <c r="I16" s="1" t="s">
        <v>682</v>
      </c>
    </row>
    <row r="17" spans="1:9" x14ac:dyDescent="0.3">
      <c r="A17" s="16" t="s">
        <v>410</v>
      </c>
      <c r="B17" s="11" t="s">
        <v>335</v>
      </c>
      <c r="C17" s="11" t="s">
        <v>335</v>
      </c>
      <c r="D17" s="17" t="s">
        <v>484</v>
      </c>
      <c r="E17" s="17" t="s">
        <v>405</v>
      </c>
      <c r="F17" s="1" t="s">
        <v>73</v>
      </c>
      <c r="G17" s="1" t="s">
        <v>147</v>
      </c>
      <c r="H17" s="1" t="str">
        <f t="shared" si="0"/>
        <v>INSERT INTO MAKE (MAKE_ID, PRODUCER_ID, MOVIE_ID, PRODUCER_ROLE, PRODUCER_PART) VALUES ('MK-' || TO_CHAR(SYSDATE, 'YYYYMMDD-') || LPAD(SEQ_MAKE_PK.NEXTVAL, 6, 0), 'PD-20260226-000008', 'MV-20260226-000004', 'Director', '연출');</v>
      </c>
      <c r="I17" s="1" t="s">
        <v>683</v>
      </c>
    </row>
    <row r="18" spans="1:9" x14ac:dyDescent="0.3">
      <c r="A18" s="16" t="s">
        <v>411</v>
      </c>
      <c r="B18" s="11" t="s">
        <v>347</v>
      </c>
      <c r="C18" s="11" t="s">
        <v>347</v>
      </c>
      <c r="D18" s="17" t="s">
        <v>486</v>
      </c>
      <c r="E18" s="17" t="s">
        <v>405</v>
      </c>
      <c r="F18" s="1" t="s">
        <v>74</v>
      </c>
      <c r="G18" s="1" t="s">
        <v>145</v>
      </c>
      <c r="H18" s="1" t="str">
        <f t="shared" si="0"/>
        <v>INSERT INTO MAKE (MAKE_ID, PRODUCER_ID, MOVIE_ID, PRODUCER_ROLE, PRODUCER_PART) VALUES ('MK-' || TO_CHAR(SYSDATE, 'YYYYMMDD-') || LPAD(SEQ_MAKE_PK.NEXTVAL, 6, 0), 'PD-20260226-000009', 'MV-20260226-000004', 'Screenplay', '각본');</v>
      </c>
      <c r="I18" s="1" t="s">
        <v>684</v>
      </c>
    </row>
    <row r="19" spans="1:9" x14ac:dyDescent="0.3">
      <c r="A19" s="16" t="s">
        <v>455</v>
      </c>
      <c r="B19" s="11" t="s">
        <v>334</v>
      </c>
      <c r="C19" s="11" t="s">
        <v>334</v>
      </c>
      <c r="D19" s="17" t="s">
        <v>487</v>
      </c>
      <c r="E19" s="17" t="s">
        <v>402</v>
      </c>
      <c r="F19" s="1" t="s">
        <v>73</v>
      </c>
      <c r="G19" s="1" t="s">
        <v>147</v>
      </c>
      <c r="H19" s="1" t="str">
        <f t="shared" si="0"/>
        <v>INSERT INTO MAKE (MAKE_ID, PRODUCER_ID, MOVIE_ID, PRODUCER_ROLE, PRODUCER_PART) VALUES ('MK-' || TO_CHAR(SYSDATE, 'YYYYMMDD-') || LPAD(SEQ_MAKE_PK.NEXTVAL, 6, 0), 'PD-20260226-000010', 'MV-20260226-000005', 'Director', '연출');</v>
      </c>
      <c r="I19" s="1" t="s">
        <v>685</v>
      </c>
    </row>
    <row r="20" spans="1:9" x14ac:dyDescent="0.3">
      <c r="A20" s="16" t="s">
        <v>442</v>
      </c>
      <c r="B20" s="11" t="s">
        <v>337</v>
      </c>
      <c r="C20" s="11" t="s">
        <v>337</v>
      </c>
      <c r="D20" s="17" t="s">
        <v>487</v>
      </c>
      <c r="E20" s="17" t="s">
        <v>402</v>
      </c>
      <c r="F20" s="1" t="s">
        <v>74</v>
      </c>
      <c r="G20" s="1" t="s">
        <v>145</v>
      </c>
      <c r="H20" s="1" t="str">
        <f t="shared" si="0"/>
        <v>INSERT INTO MAKE (MAKE_ID, PRODUCER_ID, MOVIE_ID, PRODUCER_ROLE, PRODUCER_PART) VALUES ('MK-' || TO_CHAR(SYSDATE, 'YYYYMMDD-') || LPAD(SEQ_MAKE_PK.NEXTVAL, 6, 0), 'PD-20260226-000010', 'MV-20260226-000005', 'Screenplay', '각본');</v>
      </c>
      <c r="I20" s="1" t="s">
        <v>686</v>
      </c>
    </row>
    <row r="21" spans="1:9" x14ac:dyDescent="0.3">
      <c r="A21" s="16" t="s">
        <v>453</v>
      </c>
      <c r="B21" s="11" t="s">
        <v>338</v>
      </c>
      <c r="C21" s="11" t="s">
        <v>338</v>
      </c>
      <c r="D21" s="17" t="s">
        <v>488</v>
      </c>
      <c r="E21" s="17" t="s">
        <v>402</v>
      </c>
      <c r="F21" s="1" t="s">
        <v>74</v>
      </c>
      <c r="G21" s="1" t="s">
        <v>145</v>
      </c>
      <c r="H21" s="1" t="str">
        <f t="shared" si="0"/>
        <v>INSERT INTO MAKE (MAKE_ID, PRODUCER_ID, MOVIE_ID, PRODUCER_ROLE, PRODUCER_PART) VALUES ('MK-' || TO_CHAR(SYSDATE, 'YYYYMMDD-') || LPAD(SEQ_MAKE_PK.NEXTVAL, 6, 0), 'PD-20260226-000011', 'MV-20260226-000005', 'Screenplay', '각본');</v>
      </c>
      <c r="I21" s="1" t="s">
        <v>687</v>
      </c>
    </row>
    <row r="22" spans="1:9" x14ac:dyDescent="0.3">
      <c r="A22" s="16" t="s">
        <v>451</v>
      </c>
      <c r="B22" s="11" t="s">
        <v>332</v>
      </c>
      <c r="C22" s="11" t="s">
        <v>332</v>
      </c>
      <c r="D22" s="17" t="s">
        <v>490</v>
      </c>
      <c r="E22" s="17" t="s">
        <v>402</v>
      </c>
      <c r="F22" s="1" t="s">
        <v>74</v>
      </c>
      <c r="G22" s="1" t="s">
        <v>145</v>
      </c>
      <c r="H22" s="1" t="str">
        <f t="shared" si="0"/>
        <v>INSERT INTO MAKE (MAKE_ID, PRODUCER_ID, MOVIE_ID, PRODUCER_ROLE, PRODUCER_PART) VALUES ('MK-' || TO_CHAR(SYSDATE, 'YYYYMMDD-') || LPAD(SEQ_MAKE_PK.NEXTVAL, 6, 0), 'PD-20260226-000012', 'MV-20260226-000005', 'Screenplay', '각본');</v>
      </c>
      <c r="I22" s="1" t="s">
        <v>688</v>
      </c>
    </row>
    <row r="23" spans="1:9" x14ac:dyDescent="0.3">
      <c r="A23" s="16" t="s">
        <v>448</v>
      </c>
      <c r="B23" s="11" t="s">
        <v>343</v>
      </c>
      <c r="C23" s="11" t="s">
        <v>343</v>
      </c>
      <c r="D23" s="17" t="s">
        <v>496</v>
      </c>
      <c r="E23" s="17" t="s">
        <v>402</v>
      </c>
      <c r="F23" s="1" t="s">
        <v>74</v>
      </c>
      <c r="G23" s="1" t="s">
        <v>145</v>
      </c>
      <c r="H23" s="1" t="str">
        <f t="shared" si="0"/>
        <v>INSERT INTO MAKE (MAKE_ID, PRODUCER_ID, MOVIE_ID, PRODUCER_ROLE, PRODUCER_PART) VALUES ('MK-' || TO_CHAR(SYSDATE, 'YYYYMMDD-') || LPAD(SEQ_MAKE_PK.NEXTVAL, 6, 0), 'PD-20260226-000013', 'MV-20260226-000005', 'Screenplay', '각본');</v>
      </c>
      <c r="I23" s="1" t="s">
        <v>689</v>
      </c>
    </row>
    <row r="24" spans="1:9" x14ac:dyDescent="0.3">
      <c r="A24" s="16" t="s">
        <v>441</v>
      </c>
      <c r="B24" s="11" t="s">
        <v>333</v>
      </c>
      <c r="C24" s="11" t="s">
        <v>333</v>
      </c>
      <c r="D24" s="17" t="s">
        <v>532</v>
      </c>
      <c r="E24" s="17" t="s">
        <v>399</v>
      </c>
      <c r="F24" s="1" t="s">
        <v>73</v>
      </c>
      <c r="G24" s="1" t="s">
        <v>147</v>
      </c>
      <c r="H24" s="1" t="str">
        <f t="shared" si="0"/>
        <v>INSERT INTO MAKE (MAKE_ID, PRODUCER_ID, MOVIE_ID, PRODUCER_ROLE, PRODUCER_PART) VALUES ('MK-' || TO_CHAR(SYSDATE, 'YYYYMMDD-') || LPAD(SEQ_MAKE_PK.NEXTVAL, 6, 0), 'PD-20260226-000019', 'MV-20260226-000006', 'Director', '연출');</v>
      </c>
      <c r="I24" s="1" t="s">
        <v>690</v>
      </c>
    </row>
    <row r="25" spans="1:9" x14ac:dyDescent="0.3">
      <c r="A25" s="16" t="s">
        <v>450</v>
      </c>
      <c r="B25" s="11" t="s">
        <v>336</v>
      </c>
      <c r="C25" s="11" t="s">
        <v>336</v>
      </c>
      <c r="D25" s="17" t="s">
        <v>532</v>
      </c>
      <c r="E25" s="17" t="s">
        <v>399</v>
      </c>
      <c r="F25" s="1" t="s">
        <v>74</v>
      </c>
      <c r="G25" s="1" t="s">
        <v>145</v>
      </c>
      <c r="H25" s="1" t="str">
        <f t="shared" si="0"/>
        <v>INSERT INTO MAKE (MAKE_ID, PRODUCER_ID, MOVIE_ID, PRODUCER_ROLE, PRODUCER_PART) VALUES ('MK-' || TO_CHAR(SYSDATE, 'YYYYMMDD-') || LPAD(SEQ_MAKE_PK.NEXTVAL, 6, 0), 'PD-20260226-000019', 'MV-20260226-000006', 'Screenplay', '각본');</v>
      </c>
      <c r="I25" s="1" t="s">
        <v>691</v>
      </c>
    </row>
    <row r="26" spans="1:9" x14ac:dyDescent="0.3">
      <c r="A26" s="16" t="s">
        <v>449</v>
      </c>
      <c r="B26" s="11" t="s">
        <v>342</v>
      </c>
      <c r="C26" s="11" t="s">
        <v>342</v>
      </c>
      <c r="D26" s="17" t="s">
        <v>531</v>
      </c>
      <c r="E26" s="17" t="s">
        <v>401</v>
      </c>
      <c r="F26" s="1" t="s">
        <v>73</v>
      </c>
      <c r="G26" s="1" t="s">
        <v>147</v>
      </c>
      <c r="H26" s="1" t="str">
        <f t="shared" si="0"/>
        <v>INSERT INTO MAKE (MAKE_ID, PRODUCER_ID, MOVIE_ID, PRODUCER_ROLE, PRODUCER_PART) VALUES ('MK-' || TO_CHAR(SYSDATE, 'YYYYMMDD-') || LPAD(SEQ_MAKE_PK.NEXTVAL, 6, 0), 'PD-20260226-000020', 'MV-20260226-000007', 'Director', '연출');</v>
      </c>
      <c r="I26" s="1" t="s">
        <v>692</v>
      </c>
    </row>
    <row r="27" spans="1:9" x14ac:dyDescent="0.3">
      <c r="A27" s="16" t="s">
        <v>445</v>
      </c>
      <c r="B27" s="11" t="s">
        <v>339</v>
      </c>
      <c r="C27" s="11" t="s">
        <v>339</v>
      </c>
      <c r="D27" s="17" t="s">
        <v>530</v>
      </c>
      <c r="E27" s="17" t="s">
        <v>401</v>
      </c>
      <c r="F27" s="1" t="s">
        <v>74</v>
      </c>
      <c r="G27" s="1" t="s">
        <v>145</v>
      </c>
      <c r="H27" s="1" t="str">
        <f t="shared" si="0"/>
        <v>INSERT INTO MAKE (MAKE_ID, PRODUCER_ID, MOVIE_ID, PRODUCER_ROLE, PRODUCER_PART) VALUES ('MK-' || TO_CHAR(SYSDATE, 'YYYYMMDD-') || LPAD(SEQ_MAKE_PK.NEXTVAL, 6, 0), 'PD-20260226-000021', 'MV-20260226-000007', 'Screenplay', '각본');</v>
      </c>
      <c r="I27" s="1" t="s">
        <v>693</v>
      </c>
    </row>
    <row r="28" spans="1:9" x14ac:dyDescent="0.3">
      <c r="A28" s="16" t="s">
        <v>444</v>
      </c>
      <c r="B28" s="11" t="s">
        <v>340</v>
      </c>
      <c r="C28" s="11" t="s">
        <v>340</v>
      </c>
      <c r="D28" s="17" t="s">
        <v>499</v>
      </c>
      <c r="E28" s="17" t="s">
        <v>403</v>
      </c>
      <c r="F28" s="1" t="s">
        <v>73</v>
      </c>
      <c r="G28" s="1" t="s">
        <v>147</v>
      </c>
      <c r="H28" s="1" t="str">
        <f t="shared" si="0"/>
        <v>INSERT INTO MAKE (MAKE_ID, PRODUCER_ID, MOVIE_ID, PRODUCER_ROLE, PRODUCER_PART) VALUES ('MK-' || TO_CHAR(SYSDATE, 'YYYYMMDD-') || LPAD(SEQ_MAKE_PK.NEXTVAL, 6, 0), 'PD-20260226-000014', 'MV-20260226-000008', 'Director', '연출');</v>
      </c>
      <c r="I28" s="1" t="s">
        <v>694</v>
      </c>
    </row>
    <row r="29" spans="1:9" x14ac:dyDescent="0.3">
      <c r="A29" s="16" t="s">
        <v>446</v>
      </c>
      <c r="B29" s="11" t="s">
        <v>345</v>
      </c>
      <c r="C29" s="11" t="s">
        <v>345</v>
      </c>
      <c r="D29" s="17" t="s">
        <v>499</v>
      </c>
      <c r="E29" s="17" t="s">
        <v>403</v>
      </c>
      <c r="F29" s="1" t="s">
        <v>261</v>
      </c>
      <c r="G29" s="1" t="s">
        <v>145</v>
      </c>
      <c r="H29" s="1" t="str">
        <f t="shared" si="0"/>
        <v>INSERT INTO MAKE (MAKE_ID, PRODUCER_ID, MOVIE_ID, PRODUCER_ROLE, PRODUCER_PART) VALUES ('MK-' || TO_CHAR(SYSDATE, 'YYYYMMDD-') || LPAD(SEQ_MAKE_PK.NEXTVAL, 6, 0), 'PD-20260226-000014', 'MV-20260226-000008', 'Writer', '각본');</v>
      </c>
      <c r="I29" s="1" t="s">
        <v>695</v>
      </c>
    </row>
    <row r="30" spans="1:9" x14ac:dyDescent="0.3">
      <c r="A30" s="16" t="s">
        <v>447</v>
      </c>
      <c r="B30" s="11" t="s">
        <v>331</v>
      </c>
      <c r="C30" s="11" t="s">
        <v>331</v>
      </c>
      <c r="D30" s="17" t="s">
        <v>498</v>
      </c>
      <c r="E30" s="17" t="s">
        <v>403</v>
      </c>
      <c r="F30" s="1" t="s">
        <v>261</v>
      </c>
      <c r="G30" s="1" t="s">
        <v>145</v>
      </c>
      <c r="H30" s="1" t="str">
        <f t="shared" si="0"/>
        <v>INSERT INTO MAKE (MAKE_ID, PRODUCER_ID, MOVIE_ID, PRODUCER_ROLE, PRODUCER_PART) VALUES ('MK-' || TO_CHAR(SYSDATE, 'YYYYMMDD-') || LPAD(SEQ_MAKE_PK.NEXTVAL, 6, 0), 'PD-20260226-000015', 'MV-20260226-000008', 'Writer', '각본');</v>
      </c>
      <c r="I30" s="1" t="s">
        <v>696</v>
      </c>
    </row>
    <row r="31" spans="1:9" x14ac:dyDescent="0.3">
      <c r="A31" s="16" t="s">
        <v>452</v>
      </c>
      <c r="B31" s="11" t="s">
        <v>341</v>
      </c>
      <c r="C31" s="11" t="s">
        <v>341</v>
      </c>
      <c r="D31" s="17" t="s">
        <v>497</v>
      </c>
      <c r="E31" s="17" t="s">
        <v>404</v>
      </c>
      <c r="F31" s="1" t="s">
        <v>73</v>
      </c>
      <c r="G31" s="1" t="s">
        <v>147</v>
      </c>
      <c r="H31" s="1" t="str">
        <f t="shared" si="0"/>
        <v>INSERT INTO MAKE (MAKE_ID, PRODUCER_ID, MOVIE_ID, PRODUCER_ROLE, PRODUCER_PART) VALUES ('MK-' || TO_CHAR(SYSDATE, 'YYYYMMDD-') || LPAD(SEQ_MAKE_PK.NEXTVAL, 6, 0), 'PD-20260226-000016', 'MV-20260226-000009', 'Director', '연출');</v>
      </c>
      <c r="I31" s="1" t="s">
        <v>697</v>
      </c>
    </row>
    <row r="32" spans="1:9" x14ac:dyDescent="0.3">
      <c r="A32" s="16" t="s">
        <v>454</v>
      </c>
      <c r="B32" s="11" t="s">
        <v>344</v>
      </c>
      <c r="C32" s="11" t="s">
        <v>344</v>
      </c>
      <c r="D32" s="17" t="s">
        <v>497</v>
      </c>
      <c r="E32" s="17" t="s">
        <v>404</v>
      </c>
      <c r="F32" s="1" t="s">
        <v>261</v>
      </c>
      <c r="G32" s="1" t="s">
        <v>145</v>
      </c>
      <c r="H32" s="1" t="str">
        <f t="shared" si="0"/>
        <v>INSERT INTO MAKE (MAKE_ID, PRODUCER_ID, MOVIE_ID, PRODUCER_ROLE, PRODUCER_PART) VALUES ('MK-' || TO_CHAR(SYSDATE, 'YYYYMMDD-') || LPAD(SEQ_MAKE_PK.NEXTVAL, 6, 0), 'PD-20260226-000016', 'MV-20260226-000009', 'Writer', '각본');</v>
      </c>
      <c r="I32" s="1" t="s">
        <v>698</v>
      </c>
    </row>
    <row r="33" spans="1:9" x14ac:dyDescent="0.3">
      <c r="A33" s="16" t="s">
        <v>443</v>
      </c>
      <c r="B33" s="11" t="s">
        <v>346</v>
      </c>
      <c r="C33" s="11" t="s">
        <v>346</v>
      </c>
      <c r="D33" s="17" t="s">
        <v>495</v>
      </c>
      <c r="E33" s="17" t="s">
        <v>400</v>
      </c>
      <c r="F33" s="1" t="s">
        <v>73</v>
      </c>
      <c r="G33" s="1" t="s">
        <v>147</v>
      </c>
      <c r="H33" s="1" t="str">
        <f t="shared" si="0"/>
        <v>INSERT INTO MAKE (MAKE_ID, PRODUCER_ID, MOVIE_ID, PRODUCER_ROLE, PRODUCER_PART) VALUES ('MK-' || TO_CHAR(SYSDATE, 'YYYYMMDD-') || LPAD(SEQ_MAKE_PK.NEXTVAL, 6, 0), 'PD-20260226-000017', 'MV-20260226-000010', 'Director', '연출');</v>
      </c>
      <c r="I33" s="1" t="s">
        <v>699</v>
      </c>
    </row>
    <row r="34" spans="1:9" x14ac:dyDescent="0.3">
      <c r="A34" s="16" t="s">
        <v>41</v>
      </c>
      <c r="B34" s="11" t="s">
        <v>37</v>
      </c>
      <c r="C34" s="11" t="s">
        <v>37</v>
      </c>
      <c r="D34" s="17" t="s">
        <v>492</v>
      </c>
      <c r="E34" s="17" t="s">
        <v>400</v>
      </c>
      <c r="F34" s="1" t="s">
        <v>261</v>
      </c>
      <c r="G34" s="1" t="s">
        <v>145</v>
      </c>
      <c r="H34" s="1" t="str">
        <f t="shared" si="0"/>
        <v>INSERT INTO MAKE (MAKE_ID, PRODUCER_ID, MOVIE_ID, PRODUCER_ROLE, PRODUCER_PART) VALUES ('MK-' || TO_CHAR(SYSDATE, 'YYYYMMDD-') || LPAD(SEQ_MAKE_PK.NEXTVAL, 6, 0), 'PD-20260226-000018', 'MV-20260226-000010', 'Writer', '각본');</v>
      </c>
      <c r="I34" s="1" t="s">
        <v>700</v>
      </c>
    </row>
  </sheetData>
  <phoneticPr fontId="5" type="noConversion"/>
  <pageMargins left="0.69999998807907104" right="0.69999998807907104" top="0.75" bottom="0.75" header="0.30000001192092896" footer="0.30000001192092896"/>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7"/>
  <sheetViews>
    <sheetView zoomScaleNormal="100" zoomScaleSheetLayoutView="75" workbookViewId="0">
      <selection activeCell="D2" sqref="D2:D7"/>
    </sheetView>
  </sheetViews>
  <sheetFormatPr defaultColWidth="8.75" defaultRowHeight="16.5" x14ac:dyDescent="0.3"/>
  <cols>
    <col min="1" max="1" width="18.75" style="1" bestFit="1" customWidth="1"/>
    <col min="2" max="2" width="10.125" style="1" bestFit="1" customWidth="1"/>
    <col min="3" max="16384" width="8.75" style="1"/>
  </cols>
  <sheetData>
    <row r="1" spans="1:4" x14ac:dyDescent="0.3">
      <c r="A1" s="3" t="s">
        <v>242</v>
      </c>
      <c r="B1" s="1" t="s">
        <v>150</v>
      </c>
    </row>
    <row r="2" spans="1:4" x14ac:dyDescent="0.3">
      <c r="A2" s="3" t="s">
        <v>372</v>
      </c>
      <c r="B2" s="1" t="s">
        <v>143</v>
      </c>
      <c r="C2" s="1" t="str">
        <f>"INSERT INTO CATEGORIES (CATEGORIE_ID, CATEGORIE_NAME) VALUES ('CT-' || TO_CHAR(SYSDATE, 'YYYYMMDD-') || LPAD(SEQ_CATEGORIES_PK.NEXTVAL, 6, 0), '" &amp; B2 &amp; "');"</f>
        <v>INSERT INTO CATEGORIES (CATEGORIE_ID, CATEGORIE_NAME) VALUES ('CT-' || TO_CHAR(SYSDATE, 'YYYYMMDD-') || LPAD(SEQ_CATEGORIES_PK.NEXTVAL, 6, 0), '판타지');</v>
      </c>
      <c r="D2" s="1" t="s">
        <v>819</v>
      </c>
    </row>
    <row r="3" spans="1:4" x14ac:dyDescent="0.3">
      <c r="A3" s="3" t="s">
        <v>355</v>
      </c>
      <c r="B3" s="1" t="s">
        <v>149</v>
      </c>
      <c r="C3" s="1" t="str">
        <f t="shared" ref="C3:C7" si="0">"INSERT INTO CATEGORIES (CATEGORIE_ID, CATEGORIE_NAME) VALUES ('CT-' || TO_CHAR(SYSDATE, 'YYYYMMDD-') || LPAD(SEQ_CATEGORIES_PK.NEXTVAL, 6, 0), '" &amp; B3 &amp; "');"</f>
        <v>INSERT INTO CATEGORIES (CATEGORIE_ID, CATEGORIE_NAME) VALUES ('CT-' || TO_CHAR(SYSDATE, 'YYYYMMDD-') || LPAD(SEQ_CATEGORIES_PK.NEXTVAL, 6, 0), '음악');</v>
      </c>
      <c r="D3" s="1" t="s">
        <v>820</v>
      </c>
    </row>
    <row r="4" spans="1:4" x14ac:dyDescent="0.3">
      <c r="A4" s="3" t="s">
        <v>352</v>
      </c>
      <c r="B4" s="1" t="s">
        <v>135</v>
      </c>
      <c r="C4" s="1" t="str">
        <f t="shared" si="0"/>
        <v>INSERT INTO CATEGORIES (CATEGORIE_ID, CATEGORIE_NAME) VALUES ('CT-' || TO_CHAR(SYSDATE, 'YYYYMMDD-') || LPAD(SEQ_CATEGORIES_PK.NEXTVAL, 6, 0), '코미디');</v>
      </c>
      <c r="D4" s="1" t="s">
        <v>821</v>
      </c>
    </row>
    <row r="5" spans="1:4" x14ac:dyDescent="0.3">
      <c r="A5" s="3" t="s">
        <v>369</v>
      </c>
      <c r="B5" s="1" t="s">
        <v>234</v>
      </c>
      <c r="C5" s="1" t="str">
        <f t="shared" si="0"/>
        <v>INSERT INTO CATEGORIES (CATEGORIE_ID, CATEGORIE_NAME) VALUES ('CT-' || TO_CHAR(SYSDATE, 'YYYYMMDD-') || LPAD(SEQ_CATEGORIES_PK.NEXTVAL, 6, 0), '애니메이션');</v>
      </c>
      <c r="D5" s="1" t="s">
        <v>822</v>
      </c>
    </row>
    <row r="6" spans="1:4" x14ac:dyDescent="0.3">
      <c r="A6" s="3" t="s">
        <v>366</v>
      </c>
      <c r="B6" s="1" t="s">
        <v>133</v>
      </c>
      <c r="C6" s="1" t="str">
        <f t="shared" si="0"/>
        <v>INSERT INTO CATEGORIES (CATEGORIE_ID, CATEGORIE_NAME) VALUES ('CT-' || TO_CHAR(SYSDATE, 'YYYYMMDD-') || LPAD(SEQ_CATEGORIES_PK.NEXTVAL, 6, 0), '모험');</v>
      </c>
      <c r="D6" s="1" t="s">
        <v>823</v>
      </c>
    </row>
    <row r="7" spans="1:4" x14ac:dyDescent="0.3">
      <c r="A7" s="3" t="s">
        <v>390</v>
      </c>
      <c r="B7" s="1" t="s">
        <v>153</v>
      </c>
      <c r="C7" s="1" t="str">
        <f t="shared" si="0"/>
        <v>INSERT INTO CATEGORIES (CATEGORIE_ID, CATEGORIE_NAME) VALUES ('CT-' || TO_CHAR(SYSDATE, 'YYYYMMDD-') || LPAD(SEQ_CATEGORIES_PK.NEXTVAL, 6, 0), '가족');</v>
      </c>
      <c r="D7" s="1" t="s">
        <v>824</v>
      </c>
    </row>
  </sheetData>
  <phoneticPr fontId="5" type="noConversion"/>
  <pageMargins left="0.69999998807907104" right="0.69999998807907104" top="0.75" bottom="0.75" header="0.30000001192092896" footer="0.30000001192092896"/>
  <pageSetup paperSize="9" fitToWidth="0"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E13"/>
  <sheetViews>
    <sheetView zoomScaleNormal="100" zoomScaleSheetLayoutView="75" workbookViewId="0">
      <selection activeCell="E2" sqref="E2:E13"/>
    </sheetView>
  </sheetViews>
  <sheetFormatPr defaultColWidth="8.75" defaultRowHeight="16.5" x14ac:dyDescent="0.3"/>
  <cols>
    <col min="1" max="2" width="19.375" style="1" bestFit="1" customWidth="1"/>
    <col min="3" max="3" width="18.75" style="1" bestFit="1" customWidth="1"/>
    <col min="4" max="16384" width="8.75" style="1"/>
  </cols>
  <sheetData>
    <row r="1" spans="1:5" x14ac:dyDescent="0.3">
      <c r="A1" s="18" t="s">
        <v>238</v>
      </c>
      <c r="B1" s="19" t="s">
        <v>233</v>
      </c>
      <c r="C1" s="2" t="s">
        <v>242</v>
      </c>
    </row>
    <row r="2" spans="1:5" x14ac:dyDescent="0.3">
      <c r="A2" s="3" t="s">
        <v>412</v>
      </c>
      <c r="B2" s="2" t="s">
        <v>36</v>
      </c>
      <c r="C2" s="2" t="s">
        <v>372</v>
      </c>
      <c r="D2" s="1" t="str">
        <f>"INSERT INTO GENRE (GENRE_ID, MOVIE_ID, CATEGORIE_ID) VALUES ('GN-' || TO_CHAR(SYSDATE, 'YYYYMMDD-') || LPAD(SEQ_GENRE_PK.NEXTVAL, 6, 0), '" &amp; _xlfn.TEXTJOIN("', '",FALSE,B2:C2) &amp; "');"</f>
        <v>INSERT INTO GENRE (GENRE_ID, MOVIE_ID, CATEGORIE_ID) VALUES ('GN-' || TO_CHAR(SYSDATE, 'YYYYMMDD-') || LPAD(SEQ_GENRE_PK.NEXTVAL, 6, 0), 'MV-20260226-000001', 'CT-20260226-000001');</v>
      </c>
      <c r="E2" s="1" t="s">
        <v>807</v>
      </c>
    </row>
    <row r="3" spans="1:5" x14ac:dyDescent="0.3">
      <c r="A3" s="3" t="s">
        <v>423</v>
      </c>
      <c r="B3" s="2" t="s">
        <v>36</v>
      </c>
      <c r="C3" s="2" t="s">
        <v>355</v>
      </c>
      <c r="D3" s="1" t="str">
        <f t="shared" ref="D3:D13" si="0">"INSERT INTO GENRE (GENRE_ID, MOVIE_ID, CATEGORIE_ID) VALUES ('GN-' || TO_CHAR(SYSDATE, 'YYYYMMDD-') || LPAD(SEQ_GENRE_PK.NEXTVAL, 6, 0), '" &amp; _xlfn.TEXTJOIN("', '",FALSE,B3:C3) &amp; "');"</f>
        <v>INSERT INTO GENRE (GENRE_ID, MOVIE_ID, CATEGORIE_ID) VALUES ('GN-' || TO_CHAR(SYSDATE, 'YYYYMMDD-') || LPAD(SEQ_GENRE_PK.NEXTVAL, 6, 0), 'MV-20260226-000001', 'CT-20260226-000002');</v>
      </c>
      <c r="E3" s="1" t="s">
        <v>808</v>
      </c>
    </row>
    <row r="4" spans="1:5" x14ac:dyDescent="0.3">
      <c r="A4" s="3" t="s">
        <v>416</v>
      </c>
      <c r="B4" s="2" t="s">
        <v>36</v>
      </c>
      <c r="C4" s="2" t="s">
        <v>352</v>
      </c>
      <c r="D4" s="1" t="str">
        <f t="shared" si="0"/>
        <v>INSERT INTO GENRE (GENRE_ID, MOVIE_ID, CATEGORIE_ID) VALUES ('GN-' || TO_CHAR(SYSDATE, 'YYYYMMDD-') || LPAD(SEQ_GENRE_PK.NEXTVAL, 6, 0), 'MV-20260226-000001', 'CT-20260226-000003');</v>
      </c>
      <c r="E4" s="1" t="s">
        <v>809</v>
      </c>
    </row>
    <row r="5" spans="1:5" x14ac:dyDescent="0.3">
      <c r="A5" s="3" t="s">
        <v>421</v>
      </c>
      <c r="B5" s="2" t="s">
        <v>36</v>
      </c>
      <c r="C5" s="2" t="s">
        <v>369</v>
      </c>
      <c r="D5" s="1" t="str">
        <f t="shared" si="0"/>
        <v>INSERT INTO GENRE (GENRE_ID, MOVIE_ID, CATEGORIE_ID) VALUES ('GN-' || TO_CHAR(SYSDATE, 'YYYYMMDD-') || LPAD(SEQ_GENRE_PK.NEXTVAL, 6, 0), 'MV-20260226-000001', 'CT-20260226-000004');</v>
      </c>
      <c r="E5" s="1" t="s">
        <v>810</v>
      </c>
    </row>
    <row r="6" spans="1:5" x14ac:dyDescent="0.3">
      <c r="A6" s="3" t="s">
        <v>413</v>
      </c>
      <c r="B6" s="2" t="s">
        <v>406</v>
      </c>
      <c r="C6" s="2" t="s">
        <v>355</v>
      </c>
      <c r="D6" s="1" t="str">
        <f t="shared" si="0"/>
        <v>INSERT INTO GENRE (GENRE_ID, MOVIE_ID, CATEGORIE_ID) VALUES ('GN-' || TO_CHAR(SYSDATE, 'YYYYMMDD-') || LPAD(SEQ_GENRE_PK.NEXTVAL, 6, 0), 'MV-20260226-000002', 'CT-20260226-000002');</v>
      </c>
      <c r="E6" s="1" t="s">
        <v>811</v>
      </c>
    </row>
    <row r="7" spans="1:5" x14ac:dyDescent="0.3">
      <c r="A7" s="3" t="s">
        <v>414</v>
      </c>
      <c r="B7" s="2" t="s">
        <v>406</v>
      </c>
      <c r="C7" s="2" t="s">
        <v>352</v>
      </c>
      <c r="D7" s="1" t="str">
        <f t="shared" si="0"/>
        <v>INSERT INTO GENRE (GENRE_ID, MOVIE_ID, CATEGORIE_ID) VALUES ('GN-' || TO_CHAR(SYSDATE, 'YYYYMMDD-') || LPAD(SEQ_GENRE_PK.NEXTVAL, 6, 0), 'MV-20260226-000002', 'CT-20260226-000003');</v>
      </c>
      <c r="E7" s="1" t="s">
        <v>812</v>
      </c>
    </row>
    <row r="8" spans="1:5" x14ac:dyDescent="0.3">
      <c r="A8" s="3" t="s">
        <v>422</v>
      </c>
      <c r="B8" s="2" t="s">
        <v>406</v>
      </c>
      <c r="C8" s="2" t="s">
        <v>366</v>
      </c>
      <c r="D8" s="1" t="str">
        <f t="shared" si="0"/>
        <v>INSERT INTO GENRE (GENRE_ID, MOVIE_ID, CATEGORIE_ID) VALUES ('GN-' || TO_CHAR(SYSDATE, 'YYYYMMDD-') || LPAD(SEQ_GENRE_PK.NEXTVAL, 6, 0), 'MV-20260226-000002', 'CT-20260226-000005');</v>
      </c>
      <c r="E8" s="1" t="s">
        <v>813</v>
      </c>
    </row>
    <row r="9" spans="1:5" x14ac:dyDescent="0.3">
      <c r="A9" s="3" t="s">
        <v>415</v>
      </c>
      <c r="B9" s="2" t="s">
        <v>398</v>
      </c>
      <c r="C9" s="2" t="s">
        <v>390</v>
      </c>
      <c r="D9" s="1" t="str">
        <f t="shared" si="0"/>
        <v>INSERT INTO GENRE (GENRE_ID, MOVIE_ID, CATEGORIE_ID) VALUES ('GN-' || TO_CHAR(SYSDATE, 'YYYYMMDD-') || LPAD(SEQ_GENRE_PK.NEXTVAL, 6, 0), 'MV-20260226-000003', 'CT-20260226-000006');</v>
      </c>
      <c r="E9" s="1" t="s">
        <v>814</v>
      </c>
    </row>
    <row r="10" spans="1:5" x14ac:dyDescent="0.3">
      <c r="A10" s="3" t="s">
        <v>419</v>
      </c>
      <c r="B10" s="2" t="s">
        <v>398</v>
      </c>
      <c r="C10" s="2" t="s">
        <v>372</v>
      </c>
      <c r="D10" s="1" t="str">
        <f t="shared" si="0"/>
        <v>INSERT INTO GENRE (GENRE_ID, MOVIE_ID, CATEGORIE_ID) VALUES ('GN-' || TO_CHAR(SYSDATE, 'YYYYMMDD-') || LPAD(SEQ_GENRE_PK.NEXTVAL, 6, 0), 'MV-20260226-000003', 'CT-20260226-000001');</v>
      </c>
      <c r="E10" s="1" t="s">
        <v>815</v>
      </c>
    </row>
    <row r="11" spans="1:5" x14ac:dyDescent="0.3">
      <c r="A11" s="3" t="s">
        <v>417</v>
      </c>
      <c r="B11" s="2" t="s">
        <v>398</v>
      </c>
      <c r="C11" s="2" t="s">
        <v>355</v>
      </c>
      <c r="D11" s="1" t="str">
        <f t="shared" si="0"/>
        <v>INSERT INTO GENRE (GENRE_ID, MOVIE_ID, CATEGORIE_ID) VALUES ('GN-' || TO_CHAR(SYSDATE, 'YYYYMMDD-') || LPAD(SEQ_GENRE_PK.NEXTVAL, 6, 0), 'MV-20260226-000003', 'CT-20260226-000002');</v>
      </c>
      <c r="E11" s="1" t="s">
        <v>816</v>
      </c>
    </row>
    <row r="12" spans="1:5" x14ac:dyDescent="0.3">
      <c r="A12" s="3" t="s">
        <v>418</v>
      </c>
      <c r="B12" s="2" t="s">
        <v>398</v>
      </c>
      <c r="C12" s="2" t="s">
        <v>366</v>
      </c>
      <c r="D12" s="1" t="str">
        <f t="shared" si="0"/>
        <v>INSERT INTO GENRE (GENRE_ID, MOVIE_ID, CATEGORIE_ID) VALUES ('GN-' || TO_CHAR(SYSDATE, 'YYYYMMDD-') || LPAD(SEQ_GENRE_PK.NEXTVAL, 6, 0), 'MV-20260226-000003', 'CT-20260226-000005');</v>
      </c>
      <c r="E12" s="1" t="s">
        <v>817</v>
      </c>
    </row>
    <row r="13" spans="1:5" x14ac:dyDescent="0.3">
      <c r="A13" s="3" t="s">
        <v>40</v>
      </c>
      <c r="B13" s="2" t="s">
        <v>398</v>
      </c>
      <c r="C13" s="2" t="s">
        <v>369</v>
      </c>
      <c r="D13" s="1" t="str">
        <f t="shared" si="0"/>
        <v>INSERT INTO GENRE (GENRE_ID, MOVIE_ID, CATEGORIE_ID) VALUES ('GN-' || TO_CHAR(SYSDATE, 'YYYYMMDD-') || LPAD(SEQ_GENRE_PK.NEXTVAL, 6, 0), 'MV-20260226-000003', 'CT-20260226-000004');</v>
      </c>
      <c r="E13" s="1" t="s">
        <v>818</v>
      </c>
    </row>
  </sheetData>
  <phoneticPr fontId="5" type="noConversion"/>
  <pageMargins left="0.69999998807907104" right="0.69999998807907104" top="0.75" bottom="0.75" header="0.30000001192092896" footer="0.30000001192092896"/>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otalTime>172</TotalTime>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영화</vt:lpstr>
      <vt:lpstr>출연진</vt:lpstr>
      <vt:lpstr>출연</vt:lpstr>
      <vt:lpstr>제작진</vt:lpstr>
      <vt:lpstr>제작</vt:lpstr>
      <vt:lpstr>분류</vt:lpstr>
      <vt:lpstr>장르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211-13</dc:creator>
  <cp:lastModifiedBy>박재현</cp:lastModifiedBy>
  <cp:revision>10</cp:revision>
  <dcterms:created xsi:type="dcterms:W3CDTF">2026-02-26T00:22:58Z</dcterms:created>
  <dcterms:modified xsi:type="dcterms:W3CDTF">2026-02-27T07:33:58Z</dcterms:modified>
  <cp:version>1100.0100.01</cp:version>
</cp:coreProperties>
</file>